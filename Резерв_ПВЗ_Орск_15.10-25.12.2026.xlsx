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" sheetId="1" state="visible" r:id="rId1"/>
    <sheet name="Доходы Ozon" sheetId="2" state="visible" r:id="rId2"/>
    <sheet name="Расходы бизнеса" sheetId="3" state="visible" r:id="rId3"/>
    <sheet name="Таблица владельца" sheetId="4" state="visible" r:id="rId4"/>
    <sheet name="Кредит" sheetId="5" state="visible" r:id="rId5"/>
    <sheet name="Личные финансы" sheetId="6" state="visible" r:id="rId6"/>
    <sheet name="Второй ПВЗ (оценка)" sheetId="7" state="visible" r:id="rId7"/>
    <sheet name="Допущения и вопросы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.MM.YYYY"/>
    <numFmt numFmtId="165" formatCode="# ##0.00&quot; ₽&quot;"/>
    <numFmt numFmtId="166" formatCode="# ##0&quot; ₽&quot;"/>
    <numFmt numFmtId="167" formatCode="0.0%"/>
    <numFmt numFmtId="168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808080"/>
      <sz val="9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center"/>
    </xf>
    <xf numFmtId="164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3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7" fontId="3" fillId="3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center" vertical="center" wrapText="1"/>
    </xf>
    <xf numFmtId="1" fontId="3" fillId="3" borderId="1" applyAlignment="1" pivotButton="0" quotePrefix="0" xfId="0">
      <alignment horizontal="center" vertical="center" wrapText="1"/>
    </xf>
    <xf numFmtId="168" fontId="4" fillId="0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center" vertical="center" wrapText="1"/>
    </xf>
    <xf numFmtId="167" fontId="4" fillId="4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4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5" fontId="4" fillId="0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7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center" vertical="center" wrapText="1"/>
    </xf>
    <xf numFmtId="167" fontId="4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vertical="center" wrapText="1"/>
    </xf>
    <xf numFmtId="165" fontId="2" fillId="0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right" vertical="center"/>
    </xf>
    <xf numFmtId="165" fontId="3" fillId="3" borderId="1" applyAlignment="1" pivotButton="0" quotePrefix="0" xfId="0">
      <alignment vertical="center" wrapText="1"/>
    </xf>
    <xf numFmtId="168" fontId="4" fillId="4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D47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64" customWidth="1" min="4" max="4"/>
  </cols>
  <sheetData>
    <row r="1">
      <c r="A1" s="1" t="inlineStr">
        <is>
          <t>ОПЕРАЦИОННЫЙ РЕЗЕРВ ПВЗ OZON — ОРСК, 15.10–25.12.2026</t>
        </is>
      </c>
    </row>
    <row r="2" ht="30" customHeight="1">
      <c r="A2" s="2" t="inlineStr">
        <is>
          <t>Период резерва: 15.10.2026 — 25.12.2026 включительно (72 календарных дня). Консервативно: деньги Ozon до 25.12.2026 недоступны, октябрьская частичная выплата 25.11 неизвестна и не вычитается. Жёлтые ячейки — входные данные, белые — формулы.</t>
        </is>
      </c>
    </row>
    <row r="5" ht="20" customHeight="1">
      <c r="A5" s="3" t="inlineStr">
        <is>
          <t>КЛЮЧЕВЫЕ ДАТЫ</t>
        </is>
      </c>
    </row>
    <row r="6">
      <c r="A6" s="29" t="n">
        <v>46310</v>
      </c>
      <c r="B6" s="5" t="inlineStr">
        <is>
          <t>Оформление ПВЗ и начало расходов «на себя»</t>
        </is>
      </c>
      <c r="C6" s="30" t="n"/>
      <c r="D6" s="31" t="n"/>
    </row>
    <row r="7">
      <c r="A7" s="29" t="n">
        <v>46330</v>
      </c>
      <c r="B7" s="5" t="inlineStr">
        <is>
          <t>Платёж по новому кредиту № 1 — 33 840 ₽</t>
        </is>
      </c>
      <c r="C7" s="30" t="n"/>
      <c r="D7" s="31" t="n"/>
    </row>
    <row r="8">
      <c r="A8" s="29" t="n">
        <v>46351</v>
      </c>
      <c r="B8" s="5" t="inlineStr">
        <is>
          <t>Частичная выплата Ozon за октябрь — сумма НЕИЗВЕСТНА, в резерв не заложена</t>
        </is>
      </c>
      <c r="C8" s="30" t="n"/>
      <c r="D8" s="31" t="n"/>
    </row>
    <row r="9">
      <c r="A9" s="29" t="n">
        <v>46360</v>
      </c>
      <c r="B9" s="5" t="inlineStr">
        <is>
          <t>Платёж по новому кредиту № 2 — 33 840 ₽</t>
        </is>
      </c>
      <c r="C9" s="30" t="n"/>
      <c r="D9" s="31" t="n"/>
    </row>
    <row r="10">
      <c r="A10" s="29" t="n">
        <v>46381</v>
      </c>
      <c r="B10" s="5" t="inlineStr">
        <is>
          <t>Первая полная выплата Ozon (за ноябрь) — конец периода резерва</t>
        </is>
      </c>
      <c r="C10" s="30" t="n"/>
      <c r="D10" s="31" t="n"/>
    </row>
    <row r="11">
      <c r="A11" s="29" t="n">
        <v>46387</v>
      </c>
      <c r="B11" s="5" t="inlineStr">
        <is>
          <t>Срок уплаты фиксированных взносов ИП за 2026 г. (при УСН) — дату уточнить</t>
        </is>
      </c>
      <c r="C11" s="30" t="n"/>
      <c r="D11" s="31" t="n"/>
    </row>
    <row r="13" ht="20" customHeight="1">
      <c r="A13" s="3" t="inlineStr">
        <is>
          <t>1. БИЗНЕС-РЕЗЕРВ ПВЗ (деньги бизнеса)</t>
        </is>
      </c>
    </row>
    <row r="14" ht="30" customHeight="1">
      <c r="A14" s="7" t="inlineStr">
        <is>
          <t>Статья</t>
        </is>
      </c>
      <c r="B14" s="7" t="inlineStr">
        <is>
          <t>УСН 6%</t>
        </is>
      </c>
      <c r="C14" s="7" t="inlineStr">
        <is>
          <t>АУСН 8%</t>
        </is>
      </c>
      <c r="D14" s="7" t="inlineStr">
        <is>
          <t>Примечание</t>
        </is>
      </c>
    </row>
    <row r="15">
      <c r="A15" s="5" t="inlineStr">
        <is>
          <t>Расходы ПВЗ за 72 дня (аренда, электричество, cashback, интернет, камеры, персонал, налоги и взносы)</t>
        </is>
      </c>
      <c r="B15" s="32">
        <f>'Расходы бизнеса'!D57</f>
        <v/>
      </c>
      <c r="C15" s="32">
        <f>'Расходы бизнеса'!E57</f>
        <v/>
      </c>
      <c r="D15" s="9" t="inlineStr">
        <is>
          <t>Детализация — лист «Расходы бизнеса»</t>
        </is>
      </c>
    </row>
    <row r="16">
      <c r="A16" s="5" t="inlineStr">
        <is>
          <t>Платежи по новому кредиту (04.11 и 04.12 = 2 × 33 840 ₽)</t>
        </is>
      </c>
      <c r="B16" s="32">
        <f>'Кредит'!B19</f>
        <v/>
      </c>
      <c r="C16" s="32">
        <f>'Кредит'!B19</f>
        <v/>
      </c>
      <c r="D16" s="9" t="inlineStr">
        <is>
          <t>Кредит 923 000 ₽, 59 платежей — лист «Кредит»</t>
        </is>
      </c>
    </row>
    <row r="17">
      <c r="A17" s="5" t="inlineStr">
        <is>
          <t>Дополнительный буфер (добавить один раз)</t>
        </is>
      </c>
      <c r="B17" s="32">
        <f>'Расходы бизнеса'!B9</f>
        <v/>
      </c>
      <c r="C17" s="32">
        <f>'Расходы бизнеса'!B9</f>
        <v/>
      </c>
    </row>
    <row r="18">
      <c r="A18" s="10" t="inlineStr">
        <is>
          <t>ИТОГО ОПЕРАЦИОННЫЙ РЕЗЕРВ</t>
        </is>
      </c>
      <c r="B18" s="33">
        <f>SUM(B15:B17)</f>
        <v/>
      </c>
      <c r="C18" s="33">
        <f>SUM(C15:C17)</f>
        <v/>
      </c>
      <c r="D18" s="9" t="inlineStr">
        <is>
          <t>БЕЗ цены покупки ПВЗ и личных расходов</t>
        </is>
      </c>
    </row>
    <row r="19">
      <c r="A19" s="5" t="inlineStr">
        <is>
          <t>Осторожный вариант: 3 полных месяца расходов, cashback — за 72 факт. дня</t>
        </is>
      </c>
      <c r="B19" s="32">
        <f>'Расходы бизнеса'!D58+'Кредит'!B19+'Расходы бизнеса'!B9</f>
        <v/>
      </c>
      <c r="C19" s="32">
        <f>'Расходы бизнеса'!E58+'Кредит'!B19+'Расходы бизнеса'!B9</f>
        <v/>
      </c>
      <c r="D19" s="9" t="inlineStr">
        <is>
          <t>Если аренда/зарплаты/счета оплачиваются полными месячными суммами</t>
        </is>
      </c>
    </row>
    <row r="21" ht="20" customHeight="1">
      <c r="A21" s="3" t="inlineStr">
        <is>
          <t>2. ПОСТУПЛЕНИЯ OZON В ПЕРИОДЕ (в резерв консервативно не заложены)</t>
        </is>
      </c>
    </row>
    <row r="22">
      <c r="A22" s="5" t="inlineStr">
        <is>
          <t>Полная выплата Ozon 25.12.2026 (за ноябрь)</t>
        </is>
      </c>
      <c r="B22" s="32" t="n">
        <v>0</v>
      </c>
      <c r="C22" s="32" t="n">
        <v>0</v>
      </c>
      <c r="D22" s="9" t="inlineStr">
        <is>
          <t>Первая полная выплата после передачи; день окончания резерва</t>
        </is>
      </c>
    </row>
    <row r="23">
      <c r="A23" s="5" t="inlineStr">
        <is>
          <t>Частичная выплата Ozon 25.11.2026</t>
        </is>
      </c>
      <c r="B23" s="32" t="n">
        <v>0</v>
      </c>
      <c r="C23" s="32" t="n">
        <v>0</v>
      </c>
      <c r="D23" s="9" t="inlineStr">
        <is>
          <t>Сумма неизвестна — не вычитается из резерва до подтверждения</t>
        </is>
      </c>
    </row>
    <row r="24">
      <c r="A24" s="5" t="inlineStr">
        <is>
          <t>Грубая оценка октябрьской части (17/30 от Q3-среднего)</t>
        </is>
      </c>
      <c r="B24" s="32">
        <f>'Доходы Ozon'!B35</f>
        <v/>
      </c>
      <c r="D24" s="9" t="inlineStr">
        <is>
          <t>Только ориентир начисленного вознаграждения: не гарантия и не чистый доход</t>
        </is>
      </c>
    </row>
    <row r="25" ht="30" customHeight="1">
      <c r="A25" s="2" t="inlineStr">
        <is>
          <t>Вознаграждение Ozon по скриншотам — начисления в кабинете, а НЕ подтверждённая чистая прибыль. Drop-off и «Выдача» уже входят в общее вознаграждение и в модели не добавляются повторно.</t>
        </is>
      </c>
    </row>
    <row r="27" ht="20" customHeight="1">
      <c r="A27" s="3" t="inlineStr">
        <is>
          <t>3. ЛИЧНЫЕ ПЛАТЕЖИ (отдельно от бизнеса)</t>
        </is>
      </c>
    </row>
    <row r="28">
      <c r="A28" s="5" t="inlineStr">
        <is>
          <t>Аренда квартиры (20 000 ₽/мес × 2,4)</t>
        </is>
      </c>
      <c r="B28" s="32">
        <f>'Личные финансы'!C6</f>
        <v/>
      </c>
    </row>
    <row r="29">
      <c r="A29" s="5" t="inlineStr">
        <is>
          <t>Старый автокредит (16 500 ₽/мес × 2,4)</t>
        </is>
      </c>
      <c r="B29" s="32">
        <f>'Личные финансы'!C7</f>
        <v/>
      </c>
    </row>
    <row r="30">
      <c r="A30" s="10" t="inlineStr">
        <is>
          <t>Итого личные расходы за 72 дня</t>
        </is>
      </c>
      <c r="B30" s="33">
        <f>SUM(B28:B29)</f>
        <v/>
      </c>
    </row>
    <row r="31">
      <c r="A31" s="5" t="inlineStr">
        <is>
          <t>Зарплата на заводе (источник покрытия, ориентир 120 000 ₽/мес × 2,4)</t>
        </is>
      </c>
      <c r="B31" s="32">
        <f>'Личные финансы'!C11</f>
        <v/>
      </c>
      <c r="D31" s="9" t="inlineStr">
        <is>
          <t>Диапазон 264 000–312 000 ₽ за период (110–130 тыс./мес)</t>
        </is>
      </c>
    </row>
    <row r="32">
      <c r="A32" s="10" t="inlineStr">
        <is>
          <t>Сальдо личного блока</t>
        </is>
      </c>
      <c r="B32" s="33">
        <f>B31-B30</f>
        <v/>
      </c>
      <c r="D32" s="9" t="inlineStr">
        <is>
          <t>Личное — отдельно от бизнеса; основную работу сохраняем</t>
        </is>
      </c>
    </row>
    <row r="34" ht="20" customHeight="1">
      <c r="A34" s="3" t="inlineStr">
        <is>
          <t>4. ЦЕНА ПОКУПКИ ПВЗ (отдельно, НЕ входит в операционный резерв)</t>
        </is>
      </c>
    </row>
    <row r="35">
      <c r="A35" s="5" t="inlineStr">
        <is>
          <t>Диапазон оценки</t>
        </is>
      </c>
      <c r="B35" s="12" t="inlineStr">
        <is>
          <t>650 000 — 700 000 ₽</t>
        </is>
      </c>
      <c r="D35" s="9" t="inlineStr">
        <is>
          <t>Цена не согласована</t>
        </is>
      </c>
    </row>
    <row r="36">
      <c r="A36" s="5" t="inlineStr">
        <is>
          <t>Расчётный ориентир</t>
        </is>
      </c>
      <c r="B36" s="34" t="n">
        <v>675000</v>
      </c>
      <c r="D36" s="9" t="inlineStr">
        <is>
          <t>Только ориентир для расчётов</t>
        </is>
      </c>
    </row>
    <row r="37">
      <c r="A37" s="5" t="inlineStr">
        <is>
          <t>Кредит на рефинансирование (по документам)</t>
        </is>
      </c>
      <c r="B37" s="35">
        <f>'Кредит'!B5</f>
        <v/>
      </c>
      <c r="D37" s="9" t="inlineStr">
        <is>
          <t>59 платежей по 33 840 ₽, последний 31 083,47 ₽</t>
        </is>
      </c>
    </row>
    <row r="38">
      <c r="A38" s="10" t="inlineStr">
        <is>
          <t>Оценка свободных средств после закрытия долгов (143 323,53 + 50 000)</t>
        </is>
      </c>
      <c r="B38" s="33">
        <f>'Кредит'!B24</f>
        <v/>
      </c>
      <c r="D38" s="9" t="inlineStr">
        <is>
          <t>Подтвердить фактические суммы закрытия в банке; не считать все 923 000 ₽ свободными автоматически</t>
        </is>
      </c>
    </row>
    <row r="40" ht="20" customHeight="1">
      <c r="A40" s="3" t="inlineStr">
        <is>
          <t>5. ГЛАВНЫЕ ДОПУЩЕНИЯ (полный список — лист «Допущения и вопросы»)</t>
        </is>
      </c>
    </row>
    <row r="41" ht="17" customHeight="1">
      <c r="A41" s="2" t="inlineStr">
        <is>
          <t>• Резерв рассчитан консервативно: поступления Ozon до 25.12.2026 не учитываются; октябрьская частичная выплата 25.11 неизвестна.</t>
        </is>
      </c>
    </row>
    <row r="42" ht="30" customHeight="1">
      <c r="A42" s="2" t="inlineStr">
        <is>
          <t>• УСН 6% и АУСН 8% посчитаны на одной базе — Q3-среднем вознаграждении 241 507,06 ₽/мес (предварительная оценка, не подтверждённая налоговая база).</t>
        </is>
      </c>
    </row>
    <row r="43" ht="43" customHeight="1">
      <c r="A43" s="2" t="inlineStr">
        <is>
          <t>• АУСН: тариф страховых взносов за сотрудников 0%, ИП освобождён от фиксированных взносов и 1% свыше 300 000 ₽ (ФЗ № 17-ФЗ); сохраняется фиксированный ВНиМ 2 959 ₽/год = 246,58 ₽/мес. Оренбургская область в эксперименте АУСН с 01.01.2025; режим экспериментальный (до 31.12.2027) — проверить условия: доход ≤ 60 млн ₽, сотрудников ≤ 5, уполномоченный банк, виды деятельности, запрет уходить с режима 12 месяцев.</t>
        </is>
      </c>
    </row>
    <row r="44" ht="30" customHeight="1">
      <c r="A44" s="2" t="inlineStr">
        <is>
          <t>• УСН: уменьшение налога взносами ограничено 50% (7 245,20 ₽/мес); право включить в уменьшение взносы за сотрудников уточнить у бухгалтера (переключатель B11 на листе «Расходы бизнеса»).</t>
        </is>
      </c>
    </row>
    <row r="45" ht="30" customHeight="1">
      <c r="A45" s="2" t="inlineStr">
        <is>
          <t>• «Прочие категории» вознаграждения (229 473,93 ₽ за 9 мес.), ставки взносов 30% и травматизма, даты фактической уплаты налогов — сверить с актами Ozon и бухгалтером.</t>
        </is>
      </c>
    </row>
    <row r="46" ht="30" customHeight="1">
      <c r="A46" s="2" t="inlineStr">
        <is>
          <t>• Ориентир для планирования: около 600–650 тыс. ₽ резерва (перекрывает осторожный вариант по обоим режимам) без цены покупки ПВЗ, личных расходов и старого автокредита.</t>
        </is>
      </c>
    </row>
    <row r="47" ht="24" customHeight="1">
      <c r="A47" s="2" t="inlineStr">
        <is>
          <t>• Оценка покупки второго ПВЗ (100–120 привозов/день) и ориентир его цены — отдельный лист «Второй ПВЗ (оценка)».</t>
        </is>
      </c>
    </row>
  </sheetData>
  <mergeCells count="22">
    <mergeCell ref="A5:D5"/>
    <mergeCell ref="B11:D11"/>
    <mergeCell ref="B8:D8"/>
    <mergeCell ref="A43:D43"/>
    <mergeCell ref="A13:D13"/>
    <mergeCell ref="A44:D44"/>
    <mergeCell ref="B10:D10"/>
    <mergeCell ref="A40:D40"/>
    <mergeCell ref="A34:D34"/>
    <mergeCell ref="B9:D9"/>
    <mergeCell ref="B6:D6"/>
    <mergeCell ref="A1:D1"/>
    <mergeCell ref="A45:D45"/>
    <mergeCell ref="A25:D25"/>
    <mergeCell ref="A41:D41"/>
    <mergeCell ref="B7:D7"/>
    <mergeCell ref="A46:D46"/>
    <mergeCell ref="A27:D27"/>
    <mergeCell ref="A21:D21"/>
    <mergeCell ref="A2:D2"/>
    <mergeCell ref="A47:D47"/>
    <mergeCell ref="A42:D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F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22" customWidth="1" min="5" max="5"/>
    <col width="12" customWidth="1" min="6" max="6"/>
  </cols>
  <sheetData>
    <row r="1">
      <c r="A1" s="1" t="inlineStr">
        <is>
          <t>ВОЗНАГРАЖДЕНИЕ OZON ПО СКРИНШОТАМ ВЛАДЕЛЬЦА, 2026</t>
        </is>
      </c>
    </row>
    <row r="2" ht="30" customHeight="1">
      <c r="A2" s="2" t="inlineStr">
        <is>
          <t>Это начисления в кабинете Ozon, а НЕ подтверждённая чистая прибыль и НЕ банковское поступление. Drop-off и «Выдача» уже входят в «Всего» — в модели они не прибавляются повторно. «Прочие категории» рассчитаны как разница и подлежат сверке с актами Ozon.</t>
        </is>
      </c>
    </row>
    <row r="4" ht="30" customHeight="1">
      <c r="A4" s="7" t="inlineStr">
        <is>
          <t>Месяц</t>
        </is>
      </c>
      <c r="B4" s="7" t="inlineStr">
        <is>
          <t>Всего вознаграждение, ₽</t>
        </is>
      </c>
      <c r="C4" s="7" t="inlineStr">
        <is>
          <t>Drop-off, ₽</t>
        </is>
      </c>
      <c r="D4" s="7" t="inlineStr">
        <is>
          <t>Выдача, ₽</t>
        </is>
      </c>
      <c r="E4" s="7" t="inlineStr">
        <is>
          <t>Прочие категории (разница), ₽</t>
        </is>
      </c>
      <c r="F4" s="7" t="inlineStr">
        <is>
          <t>Прочие, %</t>
        </is>
      </c>
    </row>
    <row r="5">
      <c r="A5" s="10" t="inlineStr">
        <is>
          <t>Январь</t>
        </is>
      </c>
      <c r="B5" s="36" t="n">
        <v>242509.97</v>
      </c>
      <c r="C5" s="36" t="n">
        <v>132317.5</v>
      </c>
      <c r="D5" s="36" t="n">
        <v>92010.07000000001</v>
      </c>
      <c r="E5" s="32">
        <f>B5-C5-D5</f>
        <v/>
      </c>
      <c r="F5" s="37">
        <f>IF(B5=0,0,E5/B5)</f>
        <v/>
      </c>
    </row>
    <row r="6">
      <c r="A6" s="10" t="inlineStr">
        <is>
          <t>Февраль</t>
        </is>
      </c>
      <c r="B6" s="36" t="n">
        <v>225370.47</v>
      </c>
      <c r="C6" s="36" t="n">
        <v>117155</v>
      </c>
      <c r="D6" s="36" t="n">
        <v>92568.25</v>
      </c>
      <c r="E6" s="32">
        <f>B6-C6-D6</f>
        <v/>
      </c>
      <c r="F6" s="37">
        <f>IF(B6=0,0,E6/B6)</f>
        <v/>
      </c>
    </row>
    <row r="7">
      <c r="A7" s="10" t="inlineStr">
        <is>
          <t>Март</t>
        </is>
      </c>
      <c r="B7" s="36" t="n">
        <v>261274.78</v>
      </c>
      <c r="C7" s="36" t="n">
        <v>127570</v>
      </c>
      <c r="D7" s="36" t="n">
        <v>115251.88</v>
      </c>
      <c r="E7" s="32">
        <f>B7-C7-D7</f>
        <v/>
      </c>
      <c r="F7" s="37">
        <f>IF(B7=0,0,E7/B7)</f>
        <v/>
      </c>
    </row>
    <row r="8">
      <c r="A8" s="10" t="inlineStr">
        <is>
          <t>Апрель</t>
        </is>
      </c>
      <c r="B8" s="36" t="n">
        <v>270698.4</v>
      </c>
      <c r="C8" s="36" t="n">
        <v>145642.5</v>
      </c>
      <c r="D8" s="36" t="n">
        <v>101878.14</v>
      </c>
      <c r="E8" s="32">
        <f>B8-C8-D8</f>
        <v/>
      </c>
      <c r="F8" s="37">
        <f>IF(B8=0,0,E8/B8)</f>
        <v/>
      </c>
    </row>
    <row r="9">
      <c r="A9" s="10" t="inlineStr">
        <is>
          <t>Май</t>
        </is>
      </c>
      <c r="B9" s="36" t="n">
        <v>318913.63</v>
      </c>
      <c r="C9" s="36" t="n">
        <v>181365</v>
      </c>
      <c r="D9" s="36" t="n">
        <v>110366.03</v>
      </c>
      <c r="E9" s="32">
        <f>B9-C9-D9</f>
        <v/>
      </c>
      <c r="F9" s="37">
        <f>IF(B9=0,0,E9/B9)</f>
        <v/>
      </c>
    </row>
    <row r="10">
      <c r="A10" s="10" t="inlineStr">
        <is>
          <t>Июнь</t>
        </is>
      </c>
      <c r="B10" s="36" t="n">
        <v>251632.32</v>
      </c>
      <c r="C10" s="36" t="n">
        <v>114337.5</v>
      </c>
      <c r="D10" s="36" t="n">
        <v>106197.69</v>
      </c>
      <c r="E10" s="32">
        <f>B10-C10-D10</f>
        <v/>
      </c>
      <c r="F10" s="37">
        <f>IF(B10=0,0,E10/B10)</f>
        <v/>
      </c>
    </row>
    <row r="11">
      <c r="A11" s="10" t="inlineStr">
        <is>
          <t>Июль</t>
        </is>
      </c>
      <c r="B11" s="36" t="n">
        <v>222467.62</v>
      </c>
      <c r="C11" s="36" t="n">
        <v>66895</v>
      </c>
      <c r="D11" s="36" t="n">
        <v>122142.11</v>
      </c>
      <c r="E11" s="32">
        <f>B11-C11-D11</f>
        <v/>
      </c>
      <c r="F11" s="37">
        <f>IF(B11=0,0,E11/B11)</f>
        <v/>
      </c>
    </row>
    <row r="12">
      <c r="A12" s="10" t="inlineStr">
        <is>
          <t>Август</t>
        </is>
      </c>
      <c r="B12" s="36" t="n">
        <v>213911.06</v>
      </c>
      <c r="C12" s="36" t="n">
        <v>59477.5</v>
      </c>
      <c r="D12" s="36" t="n">
        <v>126040.26</v>
      </c>
      <c r="E12" s="32">
        <f>B12-C12-D12</f>
        <v/>
      </c>
      <c r="F12" s="37">
        <f>IF(B12=0,0,E12/B12)</f>
        <v/>
      </c>
    </row>
    <row r="13">
      <c r="A13" s="10" t="inlineStr">
        <is>
          <t>Сентябрь</t>
        </is>
      </c>
      <c r="B13" s="36" t="n">
        <v>288142.49</v>
      </c>
      <c r="C13" s="36" t="n">
        <v>107135</v>
      </c>
      <c r="D13" s="36" t="n">
        <v>147097.38</v>
      </c>
      <c r="E13" s="32">
        <f>B13-C13-D13</f>
        <v/>
      </c>
      <c r="F13" s="37">
        <f>IF(B13=0,0,E13/B13)</f>
        <v/>
      </c>
    </row>
    <row r="14">
      <c r="A14" s="10" t="inlineStr">
        <is>
          <t>Итого январь–сентябрь</t>
        </is>
      </c>
      <c r="B14" s="33">
        <f>SUM(B5:B13)</f>
        <v/>
      </c>
      <c r="C14" s="33">
        <f>SUM(C5:C13)</f>
        <v/>
      </c>
      <c r="D14" s="33">
        <f>SUM(D5:D13)</f>
        <v/>
      </c>
      <c r="E14" s="33">
        <f>SUM(E5:E13)</f>
        <v/>
      </c>
      <c r="F14" s="38">
        <f>E14/B14</f>
        <v/>
      </c>
    </row>
    <row r="15">
      <c r="A15" s="10" t="inlineStr">
        <is>
          <t>Среднее янв–сен, ₽/мес</t>
        </is>
      </c>
      <c r="B15" s="33">
        <f>B14/9</f>
        <v/>
      </c>
    </row>
    <row r="16">
      <c r="A16" s="10" t="inlineStr">
        <is>
          <t>Среднее июль–сентябрь (Q3), ₽/мес</t>
        </is>
      </c>
      <c r="B16" s="33">
        <f>AVERAGE(B11:B13)</f>
        <v/>
      </c>
    </row>
    <row r="17">
      <c r="A17" s="10" t="inlineStr">
        <is>
          <t>Drop-off Q3, среднее, ₽/мес</t>
        </is>
      </c>
      <c r="B17" s="33">
        <f>AVERAGE(C11:C13)</f>
        <v/>
      </c>
    </row>
    <row r="18" ht="30" customHeight="1">
      <c r="A18" s="2" t="inlineStr">
        <is>
          <t>Данные владельца: за август около 5 700 выдач, за сентябрь около 5 800 выдач. Точное соответствие «выдач» и ставок — сверить с актами Ozon.</t>
        </is>
      </c>
    </row>
    <row r="20" ht="20" customHeight="1">
      <c r="A20" s="3" t="inlineStr">
        <is>
          <t>ПРОВЕРКА МОДЕЛЬНОГО ПОТОКА СЕЛЛЕРОВ</t>
        </is>
      </c>
    </row>
    <row r="21">
      <c r="A21" s="5" t="inlineStr">
        <is>
          <t>Модель владельца: 250 товаров × 10 ₽ × 30 дней</t>
        </is>
      </c>
      <c r="B21" s="32">
        <f>250*10*30</f>
        <v/>
      </c>
    </row>
    <row r="22">
      <c r="A22" s="5" t="inlineStr">
        <is>
          <t>Фактический Drop-off Q3 (среднее по скриншотам)</t>
        </is>
      </c>
      <c r="B22" s="32">
        <f>B17</f>
        <v/>
      </c>
    </row>
    <row r="23">
      <c r="A23" s="5" t="inlineStr">
        <is>
          <t>Cashback селлерам (1 000 ₽/день, выплата еженедельная)</t>
        </is>
      </c>
      <c r="B23" s="36" t="n">
        <v>30000</v>
      </c>
    </row>
    <row r="24">
      <c r="A24" s="10" t="inlineStr">
        <is>
          <t>Модельный поток до налогов и прочих расходов</t>
        </is>
      </c>
      <c r="B24" s="33">
        <f>B21-B23</f>
        <v/>
      </c>
    </row>
    <row r="25" ht="43" customHeight="1">
      <c r="A25" s="2" t="inlineStr">
        <is>
          <t>75 000 ₽/мес — это проверка Drop-off, а НЕ дополнительный доход сверх общего вознаграждения Ozon. Фактический Drop-off Q3 (~77 836 ₽/мес) близок к модели, но объёмы и тарифы нужно сверить. Cashback — один расход; не добавлять вторую такую же статью как «логистика/доставка».</t>
        </is>
      </c>
    </row>
    <row r="27" ht="20" customHeight="1">
      <c r="A27" s="3" t="inlineStr">
        <is>
          <t>БАЗА ДЛЯ НАЛОГОВОЙ ОЦЕНКИ (предварительная, не подтверждённая)</t>
        </is>
      </c>
    </row>
    <row r="28">
      <c r="A28" s="10" t="inlineStr">
        <is>
          <t>Q3-среднее — используется в модели</t>
        </is>
      </c>
      <c r="B28" s="33">
        <f>B16</f>
        <v/>
      </c>
    </row>
    <row r="29">
      <c r="A29" s="5" t="inlineStr">
        <is>
          <t>Альтернатива — среднее янв–сен</t>
        </is>
      </c>
      <c r="B29" s="32">
        <f>B15</f>
        <v/>
      </c>
    </row>
    <row r="30" ht="30" customHeight="1">
      <c r="A30" s="2" t="inlineStr">
        <is>
          <t>Налоговая база определяется фактическими начислениями за период работы с 15.10.2026 и правом на вычеты; в модели — модельная оценка на Q3-среднем.</t>
        </is>
      </c>
    </row>
    <row r="32" ht="20" customHeight="1">
      <c r="A32" s="3" t="inlineStr">
        <is>
          <t>ВЫПЛАТЫ OZON В ПЕРИОДЕ РЕЗЕРВА</t>
        </is>
      </c>
    </row>
    <row r="33">
      <c r="A33" s="5" t="inlineStr">
        <is>
          <t>Частичная выплата за 15–31.10 — ожидается 25.11.2026</t>
        </is>
      </c>
      <c r="B33" s="32" t="n">
        <v>0</v>
      </c>
      <c r="C33" s="9" t="inlineStr">
        <is>
          <t>Сумма неизвестна — в резерв не заложена</t>
        </is>
      </c>
    </row>
    <row r="34">
      <c r="A34" s="5" t="inlineStr">
        <is>
          <t>Полная выплата за ноябрь — 25.12.2026</t>
        </is>
      </c>
      <c r="B34" s="32" t="n">
        <v>0</v>
      </c>
      <c r="C34" s="9" t="inlineStr">
        <is>
          <t>Первая полная выплата после передачи; день окончания резерва</t>
        </is>
      </c>
    </row>
    <row r="35">
      <c r="A35" s="5" t="inlineStr">
        <is>
          <t>Грубая оценка октябрьской части (17/30 от Q3-среднего)</t>
        </is>
      </c>
      <c r="B35" s="32">
        <f>B16*17/30</f>
        <v/>
      </c>
      <c r="C35" s="9" t="inlineStr">
        <is>
          <t>Только ориентир: не гарантия и не чистый доход</t>
        </is>
      </c>
    </row>
  </sheetData>
  <mergeCells count="8">
    <mergeCell ref="A2:F2"/>
    <mergeCell ref="A1:F1"/>
    <mergeCell ref="A32:F32"/>
    <mergeCell ref="A27:F27"/>
    <mergeCell ref="A18:F18"/>
    <mergeCell ref="A20:F20"/>
    <mergeCell ref="A30:F30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F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  <col width="18" customWidth="1" min="4" max="4"/>
    <col width="18" customWidth="1" min="5" max="5"/>
    <col width="62" customWidth="1" min="6" max="6"/>
  </cols>
  <sheetData>
    <row r="1">
      <c r="A1" s="1" t="inlineStr">
        <is>
          <t>РАСХОДЫ БИЗНЕСА, ПЕРСОНАЛ, НАЛОГИ — 15.10–25.12.2026 (72 ДНЯ)</t>
        </is>
      </c>
    </row>
    <row r="2" ht="30" customHeight="1">
      <c r="A2" s="2" t="inlineStr">
        <is>
          <t>Жёлтые ячейки — входные данные. Пропорция 72/30 = 2,4 условных месяца; денежные средства Ozon до 25.12.2026 считаются недоступными (октябрьская частичная выплата 25.11 неизвестна и не вычитается).</t>
        </is>
      </c>
    </row>
    <row r="4" ht="20" customHeight="1">
      <c r="A4" s="3" t="inlineStr">
        <is>
          <t>ПАРАМЕТРЫ ПЕРИОДА</t>
        </is>
      </c>
    </row>
    <row r="5">
      <c r="A5" s="5" t="inlineStr">
        <is>
          <t>Дата начала расходов «на себя»</t>
        </is>
      </c>
      <c r="B5" s="41" t="n">
        <v>46310</v>
      </c>
    </row>
    <row r="6">
      <c r="A6" s="5" t="inlineStr">
        <is>
          <t>Дата первой полной выплаты Ozon</t>
        </is>
      </c>
      <c r="B6" s="41" t="n">
        <v>46381</v>
      </c>
    </row>
    <row r="7">
      <c r="A7" s="10" t="inlineStr">
        <is>
          <t>Календарных дней в периоде</t>
        </is>
      </c>
      <c r="B7" s="19">
        <f>B6-B5+1</f>
        <v/>
      </c>
    </row>
    <row r="8">
      <c r="A8" s="5" t="inlineStr">
        <is>
          <t>Условных месяцев (дней / 30)</t>
        </is>
      </c>
      <c r="B8" s="20">
        <f>B7/30</f>
        <v/>
      </c>
    </row>
    <row r="9">
      <c r="A9" s="5" t="inlineStr">
        <is>
          <t>Дополнительный буфер (добавить один раз), ₽</t>
        </is>
      </c>
      <c r="B9" s="34" t="n">
        <v>50000</v>
      </c>
    </row>
    <row r="10">
      <c r="A10" s="5" t="inlineStr">
        <is>
          <t>Cashback селлерам, ₽/день</t>
        </is>
      </c>
      <c r="B10" s="34" t="n">
        <v>1000</v>
      </c>
    </row>
    <row r="11">
      <c r="A11" s="5" t="inlineStr">
        <is>
          <t>Уменьшать УСН на взносы за сотрудников (1 = да, 0 = нет)</t>
        </is>
      </c>
      <c r="B11" s="21" t="n">
        <v>1</v>
      </c>
      <c r="F11" s="9" t="inlineStr">
        <is>
          <t>Уточнить право у бухгалтера: собственных взносов не хватает для лимита 50%</t>
        </is>
      </c>
    </row>
    <row r="12">
      <c r="A12" s="5" t="inlineStr">
        <is>
          <t>Альт. ориентир взносов, ₽/мес на сотрудника (для проверки)</t>
        </is>
      </c>
      <c r="B12" s="34" t="n">
        <v>8100</v>
      </c>
      <c r="F12" s="9" t="inlineStr">
        <is>
          <t>Ранее встречавшийся ориентир 8 100 ₽ на сотрудника — см. проверку ниже</t>
        </is>
      </c>
    </row>
    <row r="14" ht="20" customHeight="1">
      <c r="A14" s="3" t="inlineStr">
        <is>
          <t>1. РЕГУЛЯРНЫЕ РАСХОДЫ (без персонала)</t>
        </is>
      </c>
    </row>
    <row r="15" ht="30" customHeight="1">
      <c r="A15" s="7" t="inlineStr">
        <is>
          <t>Статья</t>
        </is>
      </c>
      <c r="B15" s="7" t="inlineStr">
        <is>
          <t>₽/мес (30 дн)</t>
        </is>
      </c>
      <c r="C15" s="7" t="inlineStr">
        <is>
          <t>₽ за 72 дня</t>
        </is>
      </c>
      <c r="F15" s="7" t="inlineStr">
        <is>
          <t>Примечание</t>
        </is>
      </c>
    </row>
    <row r="16">
      <c r="A16" s="5" t="inlineStr">
        <is>
          <t>Аренда помещения ПВЗ</t>
        </is>
      </c>
      <c r="B16" s="36" t="n">
        <v>42000</v>
      </c>
      <c r="C16" s="32">
        <f>B16*$B$8</f>
        <v/>
      </c>
      <c r="F16" s="9" t="inlineStr">
        <is>
          <t>Даты платежей аренды уточнить: может требоваться полный месяц</t>
        </is>
      </c>
    </row>
    <row r="17">
      <c r="A17" s="5" t="inlineStr">
        <is>
          <t>Электричество</t>
        </is>
      </c>
      <c r="B17" s="36" t="n">
        <v>3000</v>
      </c>
      <c r="C17" s="32">
        <f>B17*$B$8</f>
        <v/>
      </c>
      <c r="F17" s="9" t="inlineStr">
        <is>
          <t>«До 3 000 ₽» — в расчёте 3 000 ₽</t>
        </is>
      </c>
    </row>
    <row r="18">
      <c r="A18" s="5" t="inlineStr">
        <is>
          <t>Cashback селлерам</t>
        </is>
      </c>
      <c r="B18" s="32">
        <f>$B$10*30</f>
        <v/>
      </c>
      <c r="C18" s="32">
        <f>$B$10*$B$7</f>
        <v/>
      </c>
      <c r="F18" s="9" t="inlineStr">
        <is>
          <t>1 000 ₽/день, выплата еженедельная; за 72 дня — 72 000 ₽. Один расход, не дублировать</t>
        </is>
      </c>
    </row>
    <row r="19">
      <c r="A19" s="5" t="inlineStr">
        <is>
          <t>Интернет</t>
        </is>
      </c>
      <c r="B19" s="36" t="n">
        <v>1800</v>
      </c>
      <c r="C19" s="32">
        <f>B19*$B$8</f>
        <v/>
      </c>
    </row>
    <row r="20">
      <c r="A20" s="5" t="inlineStr">
        <is>
          <t>Камеры</t>
        </is>
      </c>
      <c r="B20" s="36" t="n">
        <v>2100</v>
      </c>
      <c r="C20" s="32">
        <f>B20*$B$8</f>
        <v/>
      </c>
    </row>
    <row r="21">
      <c r="A21" s="5" t="inlineStr">
        <is>
          <t>Прочие траты (ремонт, расходники, бухгалтерия и т. п.)</t>
        </is>
      </c>
      <c r="B21" s="36" t="n">
        <v>0</v>
      </c>
      <c r="C21" s="32">
        <f>B21*$B$8</f>
        <v/>
      </c>
      <c r="F21" s="9" t="inlineStr">
        <is>
          <t>Владельцем не подтверждены — редактируемая строка, по умолчанию 0</t>
        </is>
      </c>
    </row>
    <row r="22">
      <c r="A22" s="10" t="inlineStr">
        <is>
          <t>Итого регулярные расходы</t>
        </is>
      </c>
      <c r="B22" s="33">
        <f>SUM(B16:B21)</f>
        <v/>
      </c>
      <c r="C22" s="33">
        <f>SUM(C16:C21)</f>
        <v/>
      </c>
    </row>
    <row r="24" ht="20" customHeight="1">
      <c r="A24" s="3" t="inlineStr">
        <is>
          <t>2. ПЕРСОНАЛ (2 сотрудника, оформлены официально)</t>
        </is>
      </c>
    </row>
    <row r="25" ht="30" customHeight="1">
      <c r="A25" s="7" t="inlineStr">
        <is>
          <t>Статья</t>
        </is>
      </c>
      <c r="B25" s="7" t="inlineStr">
        <is>
          <t>₽/мес</t>
        </is>
      </c>
      <c r="C25" s="7" t="inlineStr">
        <is>
          <t>₽ за 72 дня</t>
        </is>
      </c>
      <c r="F25" s="7" t="inlineStr">
        <is>
          <t>Примечание</t>
        </is>
      </c>
    </row>
    <row r="26">
      <c r="A26" s="5" t="inlineStr">
        <is>
          <t>Сотрудников, чел.</t>
        </is>
      </c>
      <c r="B26" s="21" t="n">
        <v>2</v>
      </c>
    </row>
    <row r="27">
      <c r="A27" s="5" t="inlineStr">
        <is>
          <t>Зарплата на руки на человека, ₽/мес</t>
        </is>
      </c>
      <c r="B27" s="36" t="n">
        <v>27000</v>
      </c>
      <c r="F27" s="9" t="inlineStr">
        <is>
          <t>2 000 ₽ за смену уже включены в 27 000 ₽ — отдельно не прибавляем</t>
        </is>
      </c>
    </row>
    <row r="28">
      <c r="A28" s="5" t="inlineStr">
        <is>
          <t>ФОТ на руки всего</t>
        </is>
      </c>
      <c r="B28" s="32">
        <f>B26*B27</f>
        <v/>
      </c>
    </row>
    <row r="29">
      <c r="A29" s="5" t="inlineStr">
        <is>
          <t>Gross ФОТ (с НДФЛ 13%)</t>
        </is>
      </c>
      <c r="B29" s="32">
        <f>B28/(1-0.13)</f>
        <v/>
      </c>
    </row>
    <row r="30">
      <c r="A30" s="5" t="inlineStr">
        <is>
          <t>НДФЛ 13% (удерживается из gross)</t>
        </is>
      </c>
      <c r="B30" s="32">
        <f>B29-B28</f>
        <v/>
      </c>
      <c r="F30" s="9" t="inlineStr">
        <is>
          <t>Уже внутри gross — не добавляем к расходам второй раз</t>
        </is>
      </c>
    </row>
    <row r="31">
      <c r="A31" s="5" t="inlineStr">
        <is>
          <t>Страховые взносы работодателя 30%</t>
        </is>
      </c>
      <c r="B31" s="32">
        <f>B29*0.3</f>
        <v/>
      </c>
      <c r="F31" s="9" t="inlineStr">
        <is>
          <t>Ставку подтвердить у бухгалтера; на АУСН тариф 0% (см. ниже)</t>
        </is>
      </c>
    </row>
    <row r="32">
      <c r="A32" s="5" t="inlineStr">
        <is>
          <t>Травматизм сотрудников (300 ₽/чел.)</t>
        </is>
      </c>
      <c r="B32" s="32">
        <f>B26*300</f>
        <v/>
      </c>
      <c r="F32" s="9" t="inlineStr">
        <is>
          <t>Ориентир — подтвердить класс профриска; на АУСН — фиксированный ВНиМ ниже</t>
        </is>
      </c>
    </row>
    <row r="33">
      <c r="A33" s="10" t="inlineStr">
        <is>
          <t>Итого полная стоимость ФОТ (УСН)</t>
        </is>
      </c>
      <c r="B33" s="33">
        <f>B29+B31+B32</f>
        <v/>
      </c>
      <c r="C33" s="33">
        <f>B33*$B$8</f>
        <v/>
      </c>
    </row>
    <row r="34">
      <c r="A34" s="5" t="inlineStr">
        <is>
          <t>Персонал на АУСН (только gross)</t>
        </is>
      </c>
      <c r="B34" s="32">
        <f>B29</f>
        <v/>
      </c>
      <c r="C34" s="32">
        <f>B34*$B$8</f>
        <v/>
      </c>
      <c r="F34" s="9" t="inlineStr">
        <is>
          <t>На АУСН страховые взносы за сотрудников 0% (ч. 1 ст. 18 ФЗ № 17-ФЗ)</t>
        </is>
      </c>
    </row>
    <row r="35" ht="17" customHeight="1">
      <c r="A35" s="2" t="inlineStr">
        <is>
          <t>Незарегистрированных сотрудников в модели нет: оба сотрудника оформлены официально, НДФЛ удерживается из gross.</t>
        </is>
      </c>
    </row>
    <row r="36" ht="20" customHeight="1">
      <c r="A36" s="3" t="inlineStr">
        <is>
          <t>3. НАЛОГИ И ВЗНОСЫ — СРАВНЕНИЕ РЕЖИМОВ</t>
        </is>
      </c>
    </row>
    <row r="37" ht="30" customHeight="1">
      <c r="A37" s="7" t="inlineStr">
        <is>
          <t>Статья</t>
        </is>
      </c>
      <c r="B37" s="7" t="inlineStr">
        <is>
          <t>УСН 6%</t>
        </is>
      </c>
      <c r="C37" s="7" t="inlineStr">
        <is>
          <t>АУСН 8%</t>
        </is>
      </c>
      <c r="F37" s="7" t="inlineStr">
        <is>
          <t>Примечание</t>
        </is>
      </c>
    </row>
    <row r="38">
      <c r="A38" s="5" t="inlineStr">
        <is>
          <t>Налоговая база (модель), ₽/мес</t>
        </is>
      </c>
      <c r="B38" s="32">
        <f>'Доходы Ozon'!B28</f>
        <v/>
      </c>
      <c r="C38" s="32">
        <f>'Доходы Ozon'!B28</f>
        <v/>
      </c>
      <c r="F38" s="9" t="inlineStr">
        <is>
          <t>Q3-среднее вознаграждения; предварительная оценка, не подтверждённая база</t>
        </is>
      </c>
    </row>
    <row r="39">
      <c r="A39" s="5" t="inlineStr">
        <is>
          <t>Ставка налога</t>
        </is>
      </c>
      <c r="B39" s="42" t="n">
        <v>0.06</v>
      </c>
      <c r="C39" s="42" t="n">
        <v>0.08</v>
      </c>
    </row>
    <row r="40">
      <c r="A40" s="5" t="inlineStr">
        <is>
          <t>Налог до уменьшения</t>
        </is>
      </c>
      <c r="B40" s="32">
        <f>B38*B39</f>
        <v/>
      </c>
      <c r="C40" s="32">
        <f>C38*C39</f>
        <v/>
      </c>
    </row>
    <row r="41">
      <c r="A41" s="5" t="inlineStr">
        <is>
          <t>Собственные взносы ИП — фиксированные (57 390 ₽/год)</t>
        </is>
      </c>
      <c r="B41" s="36" t="n">
        <v>4782.5</v>
      </c>
      <c r="C41" s="32" t="n">
        <v>0</v>
      </c>
      <c r="F41" s="9" t="inlineStr">
        <is>
          <t>На АУСН ИП освобождён от фиксированных взносов «за себя»</t>
        </is>
      </c>
    </row>
    <row r="42">
      <c r="A42" s="5" t="inlineStr">
        <is>
          <t>Собственные взносы ИП — 1% свыше 300 000 ₽/год</t>
        </is>
      </c>
      <c r="B42" s="36" t="n">
        <v>2165.07</v>
      </c>
      <c r="C42" s="32" t="n">
        <v>0</v>
      </c>
      <c r="F42" s="9" t="inlineStr">
        <is>
          <t>(2 898 085 − 300 000) × 1% / 12; на АУСН 1% не платится</t>
        </is>
      </c>
    </row>
    <row r="43">
      <c r="A43" s="5" t="inlineStr">
        <is>
          <t>Взносы за сотрудников (30% + травматизм)</t>
        </is>
      </c>
      <c r="B43" s="32">
        <f>B31+B32</f>
        <v/>
      </c>
      <c r="C43" s="32" t="n">
        <v>0</v>
      </c>
      <c r="F43" s="9" t="inlineStr">
        <is>
          <t>На АУСН тариф 0% (ч. 1 ст. 18 ФЗ № 17-ФЗ) — взносов за персонал нет</t>
        </is>
      </c>
    </row>
    <row r="44">
      <c r="A44" s="5" t="inlineStr">
        <is>
          <t>Лимит уменьшения налога (50%)</t>
        </is>
      </c>
      <c r="B44" s="32">
        <f>B40*0.5</f>
        <v/>
      </c>
      <c r="C44" s="32">
        <f>C40*0.5</f>
        <v/>
      </c>
      <c r="F44" s="9" t="inlineStr">
        <is>
          <t>На АУСН уменьшения налога взносами не предусмотрено</t>
        </is>
      </c>
    </row>
    <row r="45">
      <c r="A45" s="5" t="inlineStr">
        <is>
          <t>Фактическое уменьшение налога</t>
        </is>
      </c>
      <c r="B45" s="32">
        <f>MIN(B41+B42+IF($B$11=1,B43,0),B44)</f>
        <v/>
      </c>
      <c r="C45" s="32" t="n">
        <v>0</v>
      </c>
    </row>
    <row r="46">
      <c r="A46" s="10" t="inlineStr">
        <is>
          <t>Налог к уплате</t>
        </is>
      </c>
      <c r="B46" s="33">
        <f>B40-B45</f>
        <v/>
      </c>
      <c r="C46" s="33">
        <f>C40-C45</f>
        <v/>
      </c>
    </row>
    <row r="47">
      <c r="A47" s="5" t="inlineStr">
        <is>
          <t>ВНиМ ИП на АУСН (фиксированный, 2 959 ₽/год)</t>
        </is>
      </c>
      <c r="B47" s="32" t="n">
        <v>0</v>
      </c>
      <c r="C47" s="36" t="n">
        <v>246.58</v>
      </c>
      <c r="F47" s="9" t="inlineStr">
        <is>
          <t>Платится только при наличии сотрудников; на УСН ВНиМ — в строках 31–32 выше</t>
        </is>
      </c>
    </row>
    <row r="48">
      <c r="A48" s="10" t="inlineStr">
        <is>
          <t>Итого налоги и взносы ИП</t>
        </is>
      </c>
      <c r="B48" s="33">
        <f>B46+B41+B42</f>
        <v/>
      </c>
      <c r="C48" s="33">
        <f>C46+C41+C42+C47</f>
        <v/>
      </c>
    </row>
    <row r="50" ht="20" customHeight="1">
      <c r="A50" s="3" t="inlineStr">
        <is>
          <t>4. ИТОГО ОТТОК БИЗНЕСА</t>
        </is>
      </c>
    </row>
    <row r="51" ht="30" customHeight="1">
      <c r="A51" s="7" t="inlineStr">
        <is>
          <t>Статья</t>
        </is>
      </c>
      <c r="B51" s="7" t="inlineStr">
        <is>
          <t>УСН, ₽/мес</t>
        </is>
      </c>
      <c r="C51" s="7" t="inlineStr">
        <is>
          <t>АУСН, ₽/мес</t>
        </is>
      </c>
      <c r="D51" s="7" t="inlineStr">
        <is>
          <t>УСН, ₽ за 72 дня</t>
        </is>
      </c>
      <c r="E51" s="7" t="inlineStr">
        <is>
          <t>АУСН, ₽ за 72 дня</t>
        </is>
      </c>
      <c r="F51" s="7" t="inlineStr">
        <is>
          <t>Примечание</t>
        </is>
      </c>
    </row>
    <row r="52">
      <c r="A52" s="5" t="inlineStr">
        <is>
          <t>Регулярные расходы</t>
        </is>
      </c>
      <c r="B52" s="32">
        <f>B22</f>
        <v/>
      </c>
      <c r="C52" s="32">
        <f>B22</f>
        <v/>
      </c>
      <c r="D52" s="32">
        <f>C22</f>
        <v/>
      </c>
      <c r="E52" s="32">
        <f>C22</f>
        <v/>
      </c>
    </row>
    <row r="53">
      <c r="A53" s="5" t="inlineStr">
        <is>
          <t>Персонал (полная стоимость)</t>
        </is>
      </c>
      <c r="B53" s="32">
        <f>B33</f>
        <v/>
      </c>
      <c r="C53" s="32">
        <f>B34</f>
        <v/>
      </c>
      <c r="D53" s="32">
        <f>C33</f>
        <v/>
      </c>
      <c r="E53" s="32">
        <f>C34</f>
        <v/>
      </c>
    </row>
    <row r="54">
      <c r="A54" s="5" t="inlineStr">
        <is>
          <t>Налог к уплате</t>
        </is>
      </c>
      <c r="B54" s="32">
        <f>B46</f>
        <v/>
      </c>
      <c r="C54" s="32">
        <f>C46</f>
        <v/>
      </c>
      <c r="D54" s="32">
        <f>B54*$B$8</f>
        <v/>
      </c>
      <c r="E54" s="32">
        <f>C54*$B$8</f>
        <v/>
      </c>
    </row>
    <row r="55">
      <c r="A55" s="5" t="inlineStr">
        <is>
          <t>Взносы ИП за себя (фиксированные + 1%)</t>
        </is>
      </c>
      <c r="B55" s="32">
        <f>B41+B42</f>
        <v/>
      </c>
      <c r="C55" s="32">
        <f>C41+C42</f>
        <v/>
      </c>
      <c r="D55" s="32">
        <f>B55*$B$8</f>
        <v/>
      </c>
      <c r="E55" s="32">
        <f>C55*$B$8</f>
        <v/>
      </c>
    </row>
    <row r="56">
      <c r="A56" s="5" t="inlineStr">
        <is>
          <t>ВНиМ ИП (фиксированный на АУСН)</t>
        </is>
      </c>
      <c r="B56" s="32">
        <f>B47</f>
        <v/>
      </c>
      <c r="C56" s="32">
        <f>C47</f>
        <v/>
      </c>
      <c r="D56" s="32">
        <f>B56*$B$8</f>
        <v/>
      </c>
      <c r="E56" s="32">
        <f>C56*$B$8</f>
        <v/>
      </c>
    </row>
    <row r="57">
      <c r="A57" s="10" t="inlineStr">
        <is>
          <t>ИТОГО ОТТОК БИЗНЕСА</t>
        </is>
      </c>
      <c r="B57" s="33">
        <f>SUM(B52:B56)</f>
        <v/>
      </c>
      <c r="C57" s="33">
        <f>SUM(C52:C56)</f>
        <v/>
      </c>
      <c r="D57" s="33">
        <f>SUM(D52:D56)</f>
        <v/>
      </c>
      <c r="E57" s="33">
        <f>SUM(E52:E56)</f>
        <v/>
      </c>
    </row>
    <row r="58">
      <c r="A58" s="10" t="inlineStr">
        <is>
          <t>Осторожный вариант: 3 полных месяца, cashback — за 72 факт. дня</t>
        </is>
      </c>
      <c r="D58" s="33">
        <f>(B57-$B$10*30)*3+$B$10*$B$7</f>
        <v/>
      </c>
      <c r="E58" s="33">
        <f>(C57-$B$10*30)*3+$B$10*$B$7</f>
        <v/>
      </c>
      <c r="F58" s="9" t="inlineStr">
        <is>
          <t>Если аренда, зарплаты и счета оплачиваются полными месячными суммами</t>
        </is>
      </c>
    </row>
    <row r="60" ht="20" customHeight="1">
      <c r="A60" s="3" t="inlineStr">
        <is>
          <t>5. ПРОВЕРКА И ЧУВСТВИТЕЛЬНОСТЬ</t>
        </is>
      </c>
    </row>
    <row r="61" ht="30" customHeight="1">
      <c r="A61" s="7" t="inlineStr">
        <is>
          <t>Показатель</t>
        </is>
      </c>
      <c r="B61" s="7" t="inlineStr">
        <is>
          <t>Предвар. расчёт владельца</t>
        </is>
      </c>
      <c r="C61" s="7" t="inlineStr">
        <is>
          <t>Эта модель</t>
        </is>
      </c>
      <c r="D61" s="7" t="inlineStr">
        <is>
          <t>Δ, ₽</t>
        </is>
      </c>
      <c r="F61" s="7" t="inlineStr">
        <is>
          <t>Комментарий</t>
        </is>
      </c>
    </row>
    <row r="62">
      <c r="A62" s="5" t="inlineStr">
        <is>
          <t>УСН, ₽/мес</t>
        </is>
      </c>
      <c r="B62" s="32" t="n">
        <v>174382.44</v>
      </c>
      <c r="C62" s="32">
        <f>B57</f>
        <v/>
      </c>
      <c r="D62" s="32">
        <f>C62-B62</f>
        <v/>
      </c>
      <c r="F62" s="9" t="inlineStr">
        <is>
          <t>Совпадает (разница — округление)</t>
        </is>
      </c>
    </row>
    <row r="63">
      <c r="A63" s="5" t="inlineStr">
        <is>
          <t>АУСН, ₽/мес</t>
        </is>
      </c>
      <c r="B63" s="32" t="n">
        <v>160536.11</v>
      </c>
      <c r="C63" s="32">
        <f>C57</f>
        <v/>
      </c>
      <c r="D63" s="32">
        <f>C63-B63</f>
        <v/>
      </c>
      <c r="F63" s="9" t="inlineStr">
        <is>
          <t>Совпадает (разница — округление)</t>
        </is>
      </c>
    </row>
    <row r="64">
      <c r="A64" s="5" t="inlineStr">
        <is>
          <t>УСН, ₽ за 72 дня</t>
        </is>
      </c>
      <c r="B64" s="32" t="n">
        <v>418517.86</v>
      </c>
      <c r="C64" s="32">
        <f>D57</f>
        <v/>
      </c>
      <c r="D64" s="32">
        <f>C64-B64</f>
        <v/>
      </c>
    </row>
    <row r="65">
      <c r="A65" s="5" t="inlineStr">
        <is>
          <t>АУСН, ₽ за 72 дня</t>
        </is>
      </c>
      <c r="B65" s="32" t="n">
        <v>385286.66</v>
      </c>
      <c r="C65" s="32">
        <f>E57</f>
        <v/>
      </c>
      <c r="D65" s="32">
        <f>C65-B65</f>
        <v/>
      </c>
    </row>
    <row r="66">
      <c r="A66" s="10" t="inlineStr">
        <is>
          <t>Резерв УСН (+ 2 платежа по кредиту + буфер 50 000)</t>
        </is>
      </c>
      <c r="B66" s="32" t="n">
        <v>536197.86</v>
      </c>
      <c r="C66" s="33">
        <f>D57+'Кредит'!B19+$B$9</f>
        <v/>
      </c>
      <c r="D66" s="32">
        <f>C66-B66</f>
        <v/>
      </c>
      <c r="F66" s="9" t="inlineStr">
        <is>
          <t>Предварительный итог владельца — 536 198 ₽</t>
        </is>
      </c>
    </row>
    <row r="67">
      <c r="A67" s="10" t="inlineStr">
        <is>
          <t>Резерв АУСН (+ 2 платежа по кредиту + буфер 50 000)</t>
        </is>
      </c>
      <c r="B67" s="32" t="n">
        <v>502966.66</v>
      </c>
      <c r="C67" s="33">
        <f>E57+'Кредит'!B19+$B$9</f>
        <v/>
      </c>
      <c r="D67" s="32">
        <f>C67-B67</f>
        <v/>
      </c>
      <c r="F67" s="9" t="inlineStr">
        <is>
          <t>Предварительный итог владельца — 502 967 ₽</t>
        </is>
      </c>
    </row>
    <row r="69">
      <c r="A69" s="5" t="inlineStr">
        <is>
          <t>Если в уменьшение УСН идут ТОЛЬКО собственные взносы (B11 = 0): налог / резерв</t>
        </is>
      </c>
      <c r="B69" s="32">
        <f>B40-MIN(B41+B42,B44)</f>
        <v/>
      </c>
      <c r="C69" s="32">
        <f>(B22+B33+(B40-MIN(B41+B42,B44))+B41+B42)*$B$8+'Кредит'!B19+$B$9</f>
        <v/>
      </c>
      <c r="F69" s="9" t="inlineStr">
        <is>
          <t>Разница с базовым случаем — около +714 ₽ за 72 дня</t>
        </is>
      </c>
    </row>
    <row r="70">
      <c r="A70" s="5" t="inlineStr">
        <is>
          <t>Если взносы за сотрудников = 8 100 ₽/чел. (B12): отток ₽/мес / резерв</t>
        </is>
      </c>
      <c r="B70" s="32">
        <f>B22+B29+$B$12*B26+(B40-B45)+B41+B42</f>
        <v/>
      </c>
      <c r="C70" s="32">
        <f>B70*$B$8+'Кредит'!B19+$B$9</f>
        <v/>
      </c>
      <c r="F70" s="9" t="inlineStr">
        <is>
          <t>Ориентир, который встречался ранее; ставку подтвердить у бухгалтера</t>
        </is>
      </c>
    </row>
    <row r="72" ht="30" customHeight="1">
      <c r="A72" s="2" t="inlineStr">
        <is>
          <t>Модель воспроизводит предварительные расчёты владельца с точностью до округления. АУСН дешевле УСН на сумму экономии взносов за персонал и взносов ИП «за себя» минус более высокая ставка налога. Полный список допущений — лист «Допущения и вопросы».</t>
        </is>
      </c>
    </row>
  </sheetData>
  <mergeCells count="10">
    <mergeCell ref="A24:F24"/>
    <mergeCell ref="A2:F2"/>
    <mergeCell ref="A60:F60"/>
    <mergeCell ref="A36:F36"/>
    <mergeCell ref="A14:F14"/>
    <mergeCell ref="A1:F1"/>
    <mergeCell ref="A35:F35"/>
    <mergeCell ref="A4:F4"/>
    <mergeCell ref="A50:F50"/>
    <mergeCell ref="A72:F7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O2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2" customWidth="1" min="13" max="13"/>
    <col width="46" customWidth="1" min="14" max="14"/>
    <col width="16" customWidth="1" min="15" max="15"/>
  </cols>
  <sheetData>
    <row r="1">
      <c r="A1" s="1" t="inlineStr">
        <is>
          <t>ТАБЛИЦА ДЕНЕЖНЫХ ПОТОКОВ ПВЗ (воссоздана по фото модели владельца)</t>
        </is>
      </c>
    </row>
    <row r="2" ht="26" customHeight="1">
      <c r="A2" s="2" t="inlineStr">
        <is>
          <t>Колонки — полумесячные периоды, дата в шапке = КОНЕЦ периода (30.окт = 15.10–30.10 и т. д.). Жёлтые ячейки — значения для редактирования, остальное — формулы. Выплаты Ozon: 25.11 — 110 000 ₽ (октябрь, частичная), 25.12 — 230 000 ₽, 25.01 — 240 000 ₽, 25.02 — 225 000 ₽.</t>
        </is>
      </c>
    </row>
    <row r="4" ht="22" customHeight="1">
      <c r="A4" s="10" t="inlineStr">
        <is>
          <t>Статья</t>
        </is>
      </c>
      <c r="B4" s="39" t="inlineStr">
        <is>
          <t>15.окт</t>
        </is>
      </c>
      <c r="C4" s="39" t="inlineStr">
        <is>
          <t>30.окт</t>
        </is>
      </c>
      <c r="D4" s="39" t="inlineStr">
        <is>
          <t>15.ноя</t>
        </is>
      </c>
      <c r="E4" s="39" t="inlineStr">
        <is>
          <t>30.ноя</t>
        </is>
      </c>
      <c r="F4" s="39" t="inlineStr">
        <is>
          <t>15.дек</t>
        </is>
      </c>
      <c r="G4" s="39" t="inlineStr">
        <is>
          <t>30.дек</t>
        </is>
      </c>
      <c r="H4" s="39" t="inlineStr">
        <is>
          <t>15.янв</t>
        </is>
      </c>
      <c r="I4" s="39" t="inlineStr">
        <is>
          <t>30.янв</t>
        </is>
      </c>
      <c r="J4" s="39" t="inlineStr">
        <is>
          <t>15.фев</t>
        </is>
      </c>
      <c r="K4" s="39" t="inlineStr">
        <is>
          <t>28.фев</t>
        </is>
      </c>
      <c r="L4" s="39" t="inlineStr">
        <is>
          <t>Итого за период</t>
        </is>
      </c>
      <c r="N4" s="3" t="inlineStr">
        <is>
          <t>РАСЧЕТ ДО 30 ДЕКАБРЯ (2,5 мес.)</t>
        </is>
      </c>
    </row>
    <row r="5">
      <c r="A5" s="5" t="inlineStr">
        <is>
          <t>Аренда</t>
        </is>
      </c>
      <c r="C5" s="34" t="n">
        <v>42000</v>
      </c>
      <c r="E5" s="34" t="n">
        <v>42000</v>
      </c>
      <c r="G5" s="34" t="n">
        <v>42000</v>
      </c>
      <c r="I5" s="34" t="n">
        <v>42000</v>
      </c>
      <c r="K5" s="34" t="n">
        <v>42000</v>
      </c>
      <c r="L5" s="40">
        <f>SUM(B5:K5)</f>
        <v/>
      </c>
      <c r="N5" s="5" t="inlineStr">
        <is>
          <t>Аренда (3 платежа)</t>
        </is>
      </c>
      <c r="O5" s="35">
        <f>C5*3</f>
        <v/>
      </c>
    </row>
    <row r="6">
      <c r="A6" s="5" t="inlineStr">
        <is>
          <t>Электричество</t>
        </is>
      </c>
      <c r="C6" s="34" t="n">
        <v>3000</v>
      </c>
      <c r="E6" s="34" t="n">
        <v>3000</v>
      </c>
      <c r="G6" s="34" t="n">
        <v>3000</v>
      </c>
      <c r="I6" s="34" t="n">
        <v>3000</v>
      </c>
      <c r="K6" s="34" t="n">
        <v>3000</v>
      </c>
      <c r="L6" s="40">
        <f>SUM(B6:K6)</f>
        <v/>
      </c>
      <c r="N6" s="5" t="inlineStr">
        <is>
          <t>Электричество (3 мес.)</t>
        </is>
      </c>
      <c r="O6" s="35">
        <f>C6*3</f>
        <v/>
      </c>
    </row>
    <row r="7">
      <c r="A7" s="5" t="inlineStr">
        <is>
          <t>Селлер (cashback)</t>
        </is>
      </c>
      <c r="C7" s="34" t="n">
        <v>15000</v>
      </c>
      <c r="D7" s="34" t="n">
        <v>15000</v>
      </c>
      <c r="E7" s="34" t="n">
        <v>15000</v>
      </c>
      <c r="F7" s="34" t="n">
        <v>15000</v>
      </c>
      <c r="G7" s="34" t="n">
        <v>15000</v>
      </c>
      <c r="H7" s="34" t="n">
        <v>15000</v>
      </c>
      <c r="I7" s="34" t="n">
        <v>15000</v>
      </c>
      <c r="J7" s="34" t="n">
        <v>15000</v>
      </c>
      <c r="K7" s="34" t="n">
        <v>15000</v>
      </c>
      <c r="L7" s="40">
        <f>SUM(B7:K7)</f>
        <v/>
      </c>
      <c r="N7" s="5" t="inlineStr">
        <is>
          <t>Селлер / cashback (5 полумесяцев)</t>
        </is>
      </c>
      <c r="O7" s="35">
        <f>C7*5</f>
        <v/>
      </c>
    </row>
    <row r="8">
      <c r="A8" s="5" t="inlineStr">
        <is>
          <t>Камеры</t>
        </is>
      </c>
      <c r="C8" s="34" t="n">
        <v>2100</v>
      </c>
      <c r="E8" s="34" t="n">
        <v>2100</v>
      </c>
      <c r="G8" s="34" t="n">
        <v>2100</v>
      </c>
      <c r="I8" s="34" t="n">
        <v>2100</v>
      </c>
      <c r="K8" s="34" t="n">
        <v>2100</v>
      </c>
      <c r="L8" s="40">
        <f>SUM(B8:K8)</f>
        <v/>
      </c>
      <c r="N8" s="5" t="inlineStr">
        <is>
          <t>Камеры (3 мес.)</t>
        </is>
      </c>
      <c r="O8" s="35">
        <f>C8*3</f>
        <v/>
      </c>
    </row>
    <row r="9">
      <c r="A9" s="5" t="inlineStr">
        <is>
          <t>Интернет</t>
        </is>
      </c>
      <c r="C9" s="34" t="n">
        <v>1800</v>
      </c>
      <c r="E9" s="34" t="n">
        <v>1800</v>
      </c>
      <c r="G9" s="34" t="n">
        <v>1800</v>
      </c>
      <c r="I9" s="34" t="n">
        <v>1800</v>
      </c>
      <c r="K9" s="34" t="n">
        <v>1800</v>
      </c>
      <c r="L9" s="40">
        <f>SUM(B9:K9)</f>
        <v/>
      </c>
      <c r="N9" s="5" t="inlineStr">
        <is>
          <t>Интернет (3 мес.)</t>
        </is>
      </c>
      <c r="O9" s="35">
        <f>C9*3</f>
        <v/>
      </c>
    </row>
    <row r="10">
      <c r="A10" s="5" t="inlineStr">
        <is>
          <t>Кредит</t>
        </is>
      </c>
      <c r="D10" s="34" t="n">
        <v>34000</v>
      </c>
      <c r="F10" s="34" t="n">
        <v>34000</v>
      </c>
      <c r="H10" s="34" t="n">
        <v>34000</v>
      </c>
      <c r="J10" s="34" t="n">
        <v>34000</v>
      </c>
      <c r="L10" s="40">
        <f>SUM(B10:K10)</f>
        <v/>
      </c>
      <c r="N10" s="5" t="inlineStr">
        <is>
          <t>Кредит (3 платежа по 34 000)</t>
        </is>
      </c>
      <c r="O10" s="35">
        <f>D10*3</f>
        <v/>
      </c>
    </row>
    <row r="11">
      <c r="A11" s="5" t="inlineStr">
        <is>
          <t>Зарплата (зп)</t>
        </is>
      </c>
      <c r="C11" s="34" t="n">
        <v>35000</v>
      </c>
      <c r="D11" s="34" t="n">
        <v>35000</v>
      </c>
      <c r="E11" s="34" t="n">
        <v>35000</v>
      </c>
      <c r="F11" s="34" t="n">
        <v>35000</v>
      </c>
      <c r="G11" s="34" t="n">
        <v>35000</v>
      </c>
      <c r="H11" s="34" t="n">
        <v>35000</v>
      </c>
      <c r="I11" s="34" t="n">
        <v>35000</v>
      </c>
      <c r="J11" s="34" t="n">
        <v>35000</v>
      </c>
      <c r="K11" s="34" t="n">
        <v>35000</v>
      </c>
      <c r="L11" s="40">
        <f>SUM(B11:K11)</f>
        <v/>
      </c>
      <c r="N11" s="5" t="inlineStr">
        <is>
          <t>Зарплата (5 полумесяцев)</t>
        </is>
      </c>
      <c r="O11" s="35">
        <f>C11*5</f>
        <v/>
      </c>
    </row>
    <row r="12">
      <c r="A12" s="5" t="inlineStr">
        <is>
          <t>Разовые траты старта (состав уточнить)</t>
        </is>
      </c>
      <c r="C12" s="34" t="n">
        <v>30300</v>
      </c>
      <c r="L12" s="40">
        <f>SUM(B12:K12)</f>
        <v/>
      </c>
      <c r="N12" s="10" t="inlineStr">
        <is>
          <t>ИТОГО РАСХОДОВ до 30 декабря</t>
        </is>
      </c>
      <c r="O12" s="40">
        <f>SUM(O5:O11)</f>
        <v/>
      </c>
    </row>
    <row r="13">
      <c r="A13" s="10" t="inlineStr">
        <is>
          <t>ИТОГО расходов за период</t>
        </is>
      </c>
      <c r="B13" s="40">
        <f>SUM(B5:B12)</f>
        <v/>
      </c>
      <c r="C13" s="40">
        <f>SUM(C5:C12)</f>
        <v/>
      </c>
      <c r="D13" s="40">
        <f>SUM(D5:D12)</f>
        <v/>
      </c>
      <c r="E13" s="40">
        <f>SUM(E5:E12)</f>
        <v/>
      </c>
      <c r="F13" s="40">
        <f>SUM(F5:F12)</f>
        <v/>
      </c>
      <c r="G13" s="40">
        <f>SUM(G5:G12)</f>
        <v/>
      </c>
      <c r="H13" s="40">
        <f>SUM(H5:H12)</f>
        <v/>
      </c>
      <c r="I13" s="40">
        <f>SUM(I5:I12)</f>
        <v/>
      </c>
      <c r="J13" s="40">
        <f>SUM(J5:J12)</f>
        <v/>
      </c>
      <c r="K13" s="40">
        <f>SUM(K5:K12)</f>
        <v/>
      </c>
      <c r="L13" s="40">
        <f>SUM(B13:K13)</f>
        <v/>
      </c>
    </row>
    <row r="14">
      <c r="A14" s="10" t="inlineStr">
        <is>
          <t>ИТОГО за месяц (два полумесяца)</t>
        </is>
      </c>
      <c r="C14" s="40">
        <f>B13+C13</f>
        <v/>
      </c>
      <c r="E14" s="40">
        <f>D13+E13</f>
        <v/>
      </c>
      <c r="G14" s="40">
        <f>F13+G13</f>
        <v/>
      </c>
      <c r="I14" s="40">
        <f>H13+I13</f>
        <v/>
      </c>
      <c r="K14" s="40">
        <f>J13+K13</f>
        <v/>
      </c>
      <c r="N14" s="5" t="inlineStr">
        <is>
          <t>Выплата 25.12 (за ноябрь)</t>
        </is>
      </c>
      <c r="O14" s="35">
        <f>G18</f>
        <v/>
      </c>
    </row>
    <row r="15" ht="26" customHeight="1">
      <c r="A15" s="2" t="inlineStr">
        <is>
          <t>Первый период (30.окт) = 129 200 ₽: обычные расходы полумесяца 98 900 ₽ + разовые траты старта 30 300 ₽ (взяты из модели владельца — состав подтвердить). Полный месяц = 182 900 ₽ (42 000 + 3 000 + 30 000 + 2 100 + 1 800 + 34 000 + 70 000).</t>
        </is>
      </c>
      <c r="N15" s="5" t="inlineStr">
        <is>
          <t>минус налог 7%</t>
        </is>
      </c>
      <c r="O15" s="35">
        <f>G18-G20</f>
        <v/>
      </c>
    </row>
    <row r="16">
      <c r="N16" s="10" t="inlineStr">
        <is>
          <t>ЕСЛИ ИСПОЛЬЗОВАТЬ ВЫПЛАТУ ЗА ДЕКАБРЬ</t>
        </is>
      </c>
      <c r="O16" s="40">
        <f>O12-G20</f>
        <v/>
      </c>
    </row>
    <row r="17" ht="20" customHeight="1">
      <c r="A17" s="3" t="inlineStr">
        <is>
          <t>ВЫПЛАТЫ OZON, НАЛОГ И ОСТАТОК</t>
        </is>
      </c>
    </row>
    <row r="18" ht="24" customHeight="1">
      <c r="A18" s="5" t="inlineStr">
        <is>
          <t>Выплата Ozon (дата в периоде)</t>
        </is>
      </c>
      <c r="E18" s="34" t="n">
        <v>110000</v>
      </c>
      <c r="G18" s="34" t="n">
        <v>230000</v>
      </c>
      <c r="I18" s="34" t="n">
        <v>240000</v>
      </c>
      <c r="K18" s="34" t="n">
        <v>225000</v>
      </c>
      <c r="L18" s="40">
        <f>SUM(B18:K18)</f>
        <v/>
      </c>
      <c r="N18" s="2" t="inlineStr">
        <is>
          <t>Блок воспроизводит расчёт владельца: месячные статьи — 3 платежа, полумесячные (селлер, зп) — 5.</t>
        </is>
      </c>
    </row>
    <row r="19" ht="24" customHeight="1">
      <c r="A19" s="5" t="inlineStr">
        <is>
          <t>Налог 7% от выплаты (модель владельца)</t>
        </is>
      </c>
      <c r="E19" s="35">
        <f>E18*0.07</f>
        <v/>
      </c>
      <c r="G19" s="35">
        <f>G18*0.07</f>
        <v/>
      </c>
      <c r="I19" s="35">
        <f>I18*0.07</f>
        <v/>
      </c>
      <c r="K19" s="35">
        <f>K18*0.07</f>
        <v/>
      </c>
      <c r="L19" s="40">
        <f>SUM(B19:K19)</f>
        <v/>
      </c>
      <c r="N19" s="2" t="inlineStr">
        <is>
          <t>Кредит: фактически до 25.12 платежи 04.11 и 04.12 = 2 × 33 840 = 67 680 ₽; в блоке — 3 платежа (осторожно).</t>
        </is>
      </c>
    </row>
    <row r="20" ht="24" customHeight="1">
      <c r="A20" s="5" t="inlineStr">
        <is>
          <t>Выплата минус налог</t>
        </is>
      </c>
      <c r="B20" s="35">
        <f>IF(B18=0,0,B18-B19)</f>
        <v/>
      </c>
      <c r="C20" s="35">
        <f>IF(C18=0,0,C18-C19)</f>
        <v/>
      </c>
      <c r="D20" s="35">
        <f>IF(D18=0,0,D18-D19)</f>
        <v/>
      </c>
      <c r="E20" s="35">
        <f>IF(E18=0,0,E18-E19)</f>
        <v/>
      </c>
      <c r="F20" s="35">
        <f>IF(F18=0,0,F18-F19)</f>
        <v/>
      </c>
      <c r="G20" s="35">
        <f>IF(G18=0,0,G18-G19)</f>
        <v/>
      </c>
      <c r="H20" s="35">
        <f>IF(H18=0,0,H18-H19)</f>
        <v/>
      </c>
      <c r="I20" s="35">
        <f>IF(I18=0,0,I18-I19)</f>
        <v/>
      </c>
      <c r="J20" s="35">
        <f>IF(J18=0,0,J18-J19)</f>
        <v/>
      </c>
      <c r="K20" s="35">
        <f>IF(K18=0,0,K18-K19)</f>
        <v/>
      </c>
      <c r="L20" s="40">
        <f>SUM(B20:K20)</f>
        <v/>
      </c>
      <c r="N20" s="2" t="inlineStr">
        <is>
          <t>Налог 7% от выплаты — упрощение модели владельца; подробно УСН/АУСН — на листе «Расходы бизнеса».</t>
        </is>
      </c>
    </row>
    <row r="21">
      <c r="A21" s="10" t="inlineStr">
        <is>
          <t>ОСТАТОК за месяц (как в модели владельца)</t>
        </is>
      </c>
      <c r="C21" s="40">
        <f>C20-C14</f>
        <v/>
      </c>
      <c r="E21" s="40">
        <f>E20-E14</f>
        <v/>
      </c>
      <c r="G21" s="40">
        <f>G20-G14</f>
        <v/>
      </c>
      <c r="I21" s="40">
        <f>I20-I14</f>
        <v/>
      </c>
      <c r="K21" s="40">
        <f>K20-K14</f>
        <v/>
      </c>
    </row>
    <row r="22">
      <c r="A22" s="5" t="inlineStr">
        <is>
          <t>Накопительный остаток (доп. строка)</t>
        </is>
      </c>
      <c r="B22" s="35">
        <f>SUM($B$20:B20)-SUM($B$13:B13)</f>
        <v/>
      </c>
      <c r="C22" s="35">
        <f>SUM($B$20:C20)-SUM($B$13:C13)</f>
        <v/>
      </c>
      <c r="D22" s="35">
        <f>SUM($B$20:D20)-SUM($B$13:D13)</f>
        <v/>
      </c>
      <c r="E22" s="35">
        <f>SUM($B$20:E20)-SUM($B$13:E13)</f>
        <v/>
      </c>
      <c r="F22" s="35">
        <f>SUM($B$20:F20)-SUM($B$13:F13)</f>
        <v/>
      </c>
      <c r="G22" s="35">
        <f>SUM($B$20:G20)-SUM($B$13:G13)</f>
        <v/>
      </c>
      <c r="H22" s="35">
        <f>SUM($B$20:H20)-SUM($B$13:H13)</f>
        <v/>
      </c>
      <c r="I22" s="35">
        <f>SUM($B$20:I20)-SUM($B$13:I13)</f>
        <v/>
      </c>
      <c r="J22" s="35">
        <f>SUM($B$20:J20)-SUM($B$13:J13)</f>
        <v/>
      </c>
      <c r="K22" s="35">
        <f>SUM($B$20:K20)-SUM($B$13:K13)</f>
        <v/>
      </c>
    </row>
    <row r="23" ht="26" customHeight="1">
      <c r="A23" s="2" t="inlineStr">
        <is>
          <t>«Остаток за месяц» = выплата минус налог минус расходы месяца. «Накопительный остаток» — реальное сальдо бизнеса с нуля: к 28.02 оно составляет около −112 150 ₽, то есть при заданном графике выплат бизнесу нужно примерно 112 тыс. ₽ своих денег на весь период; консервативный резерв до 25.12 (без учёта выплат) — на листе «Итог».</t>
        </is>
      </c>
    </row>
  </sheetData>
  <mergeCells count="9">
    <mergeCell ref="A2:L2"/>
    <mergeCell ref="A15:L15"/>
    <mergeCell ref="N20:O20"/>
    <mergeCell ref="A1:L1"/>
    <mergeCell ref="A23:L23"/>
    <mergeCell ref="N18:O18"/>
    <mergeCell ref="N19:O19"/>
    <mergeCell ref="A17:L17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D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24" customWidth="1" min="4" max="4"/>
  </cols>
  <sheetData>
    <row r="1">
      <c r="A1" s="1" t="inlineStr">
        <is>
          <t>КРЕДИТ НА РЕФИНАНСИРОВАНИЕ (по документам банка)</t>
        </is>
      </c>
    </row>
    <row r="2" ht="17" customHeight="1">
      <c r="A2" s="2" t="inlineStr">
        <is>
          <t>В прежнем сообщении называлась сумма ~950 000 ₽; в документах банка — 923 000 ₽. Ниже — параметры из графиков банка.</t>
        </is>
      </c>
    </row>
    <row r="4" ht="20" customHeight="1">
      <c r="A4" s="3" t="inlineStr">
        <is>
          <t>ПАРАМЕТРЫ</t>
        </is>
      </c>
    </row>
    <row r="5">
      <c r="A5" s="5" t="inlineStr">
        <is>
          <t>Сумма кредита, ₽</t>
        </is>
      </c>
      <c r="B5" s="34" t="n">
        <v>923000</v>
      </c>
    </row>
    <row r="6">
      <c r="A6" s="5" t="inlineStr">
        <is>
          <t>Количество платежей</t>
        </is>
      </c>
      <c r="B6" s="21" t="n">
        <v>59</v>
      </c>
    </row>
    <row r="7">
      <c r="A7" s="5" t="inlineStr">
        <is>
          <t>Регулярный платёж, ₽</t>
        </is>
      </c>
      <c r="B7" s="36" t="n">
        <v>33840</v>
      </c>
    </row>
    <row r="8">
      <c r="A8" s="5" t="inlineStr">
        <is>
          <t>Последний платёж, ₽</t>
        </is>
      </c>
      <c r="B8" s="36" t="n">
        <v>31083.47</v>
      </c>
    </row>
    <row r="9">
      <c r="A9" s="5" t="inlineStr">
        <is>
          <t>Дата первого платежа</t>
        </is>
      </c>
      <c r="B9" s="41" t="n">
        <v>46330</v>
      </c>
      <c r="D9" s="9" t="inlineStr">
        <is>
          <t>Далее — 4-го числа ежемесячно</t>
        </is>
      </c>
    </row>
    <row r="10">
      <c r="A10" s="5" t="inlineStr">
        <is>
          <t>Ставка по графику, % годовых</t>
        </is>
      </c>
      <c r="B10" s="42" t="n">
        <v>0.365</v>
      </c>
    </row>
    <row r="11">
      <c r="A11" s="5" t="inlineStr">
        <is>
          <t>ПСК, %</t>
        </is>
      </c>
      <c r="B11" s="23" t="n">
        <v>0.36481</v>
      </c>
    </row>
    <row r="12">
      <c r="A12" s="5" t="inlineStr">
        <is>
          <t>Реальная переплата (из графика банка), % годовых</t>
        </is>
      </c>
      <c r="B12" s="42" t="n">
        <v>0.2359</v>
      </c>
    </row>
    <row r="13">
      <c r="A13" s="5" t="inlineStr">
        <is>
          <t>Штраф за просрочку, % в день</t>
        </is>
      </c>
      <c r="B13" s="42" t="n">
        <v>0.001</v>
      </c>
    </row>
    <row r="14">
      <c r="A14" s="5" t="inlineStr">
        <is>
          <t>Ставка при невыполнении цели рефинансирования, %</t>
        </is>
      </c>
      <c r="B14" s="42" t="n">
        <v>0.5649999999999999</v>
      </c>
      <c r="D14" s="9" t="inlineStr">
        <is>
          <t>Базовый диапазон 21,9–39,9% + надбавка 20 п. п.</t>
        </is>
      </c>
    </row>
    <row r="16" ht="20" customHeight="1">
      <c r="A16" s="3" t="inlineStr">
        <is>
          <t>ПЛАТЕЖИ В ПЕРИОДЕ РЕЗЕРВА 15.10–25.12.2026</t>
        </is>
      </c>
    </row>
    <row r="17">
      <c r="A17" s="5" t="inlineStr">
        <is>
          <t>04.11.2026 — платёж 1</t>
        </is>
      </c>
      <c r="B17" s="32">
        <f>$B$7</f>
        <v/>
      </c>
    </row>
    <row r="18">
      <c r="A18" s="5" t="inlineStr">
        <is>
          <t>04.12.2026 — платёж 2</t>
        </is>
      </c>
      <c r="B18" s="32">
        <f>$B$7</f>
        <v/>
      </c>
    </row>
    <row r="19">
      <c r="A19" s="10" t="inlineStr">
        <is>
          <t>Итого платежей до выплаты 25.12.2026</t>
        </is>
      </c>
      <c r="B19" s="33">
        <f>SUM(B17:B18)</f>
        <v/>
      </c>
    </row>
    <row r="21" ht="20" customHeight="1">
      <c r="A21" s="3" t="inlineStr">
        <is>
          <t>РЕФИНАНСИРОВАНИЕ — СВОБОДНЫЕ СРЕДСТВА</t>
        </is>
      </c>
    </row>
    <row r="22">
      <c r="A22" s="5" t="inlineStr">
        <is>
          <t>Остаток долга № 1 (из документов), ₽</t>
        </is>
      </c>
      <c r="B22" s="36" t="n">
        <v>143323.53</v>
      </c>
    </row>
    <row r="23">
      <c r="A23" s="5" t="inlineStr">
        <is>
          <t>Остаток долга № 2 (из документов), ₽</t>
        </is>
      </c>
      <c r="B23" s="36" t="n">
        <v>50000</v>
      </c>
    </row>
    <row r="24">
      <c r="A24" s="10" t="inlineStr">
        <is>
          <t>Оценка свободных средств после закрытия долгов, ₽</t>
        </is>
      </c>
      <c r="B24" s="33">
        <f>B5-B22-B23</f>
        <v/>
      </c>
    </row>
    <row r="25" ht="30" customHeight="1">
      <c r="A25" s="2" t="inlineStr">
        <is>
          <t>Фактические суммы закрытия долгов и реально свободные деньги (с учётом возможных комиссий, страхования, порядка зачисления) необходимо подтвердить в банке. Не считать автоматически все 923 000 ₽ свободными на покупку ПВЗ.</t>
        </is>
      </c>
    </row>
    <row r="26" ht="30" customHeight="1">
      <c r="A26" s="2" t="inlineStr">
        <is>
          <t>Старый автокредит 16 500 ₽/мес, возможно, является одним из рефинансируемых долгов — не учитывать старый и новый платёж одновременно без подтверждения состава рефинансирования.</t>
        </is>
      </c>
    </row>
    <row r="28" ht="20" customHeight="1">
      <c r="A28" s="3" t="inlineStr">
        <is>
          <t>ГРАФИК ПЛАТЕЖЕЙ (59 платежей)</t>
        </is>
      </c>
    </row>
    <row r="29" ht="30" customHeight="1">
      <c r="A29" s="7" t="inlineStr">
        <is>
          <t>№</t>
        </is>
      </c>
      <c r="B29" s="7" t="inlineStr">
        <is>
          <t>Дата</t>
        </is>
      </c>
      <c r="C29" s="7" t="inlineStr">
        <is>
          <t>Платёж, ₽</t>
        </is>
      </c>
      <c r="D29" s="7" t="inlineStr">
        <is>
          <t>В периоде резерва?</t>
        </is>
      </c>
    </row>
    <row r="30">
      <c r="A30" s="24" t="n">
        <v>1</v>
      </c>
      <c r="B30" s="43" t="n">
        <v>46330</v>
      </c>
      <c r="C30" s="32" t="n">
        <v>33840</v>
      </c>
      <c r="D30" s="26" t="inlineStr">
        <is>
          <t>да</t>
        </is>
      </c>
    </row>
    <row r="31">
      <c r="A31" s="24" t="n">
        <v>2</v>
      </c>
      <c r="B31" s="43" t="n">
        <v>46360</v>
      </c>
      <c r="C31" s="32" t="n">
        <v>33840</v>
      </c>
      <c r="D31" s="26" t="inlineStr">
        <is>
          <t>да</t>
        </is>
      </c>
    </row>
    <row r="32">
      <c r="A32" s="24" t="n">
        <v>3</v>
      </c>
      <c r="B32" s="43" t="n">
        <v>46391</v>
      </c>
      <c r="C32" s="32" t="n">
        <v>33840</v>
      </c>
      <c r="D32" s="26" t="inlineStr">
        <is>
          <t>нет</t>
        </is>
      </c>
    </row>
    <row r="33">
      <c r="A33" s="24" t="n">
        <v>4</v>
      </c>
      <c r="B33" s="43" t="n">
        <v>46422</v>
      </c>
      <c r="C33" s="32" t="n">
        <v>33840</v>
      </c>
      <c r="D33" s="26" t="inlineStr">
        <is>
          <t>нет</t>
        </is>
      </c>
    </row>
    <row r="34">
      <c r="A34" s="24" t="n">
        <v>5</v>
      </c>
      <c r="B34" s="43" t="n">
        <v>46450</v>
      </c>
      <c r="C34" s="32" t="n">
        <v>33840</v>
      </c>
      <c r="D34" s="26" t="inlineStr">
        <is>
          <t>нет</t>
        </is>
      </c>
    </row>
    <row r="35">
      <c r="A35" s="24" t="n">
        <v>6</v>
      </c>
      <c r="B35" s="43" t="n">
        <v>46481</v>
      </c>
      <c r="C35" s="32" t="n">
        <v>33840</v>
      </c>
      <c r="D35" s="26" t="inlineStr">
        <is>
          <t>нет</t>
        </is>
      </c>
    </row>
    <row r="36">
      <c r="A36" s="24" t="n">
        <v>7</v>
      </c>
      <c r="B36" s="43" t="n">
        <v>46511</v>
      </c>
      <c r="C36" s="32" t="n">
        <v>33840</v>
      </c>
      <c r="D36" s="26" t="inlineStr">
        <is>
          <t>нет</t>
        </is>
      </c>
    </row>
    <row r="37">
      <c r="A37" s="24" t="n">
        <v>8</v>
      </c>
      <c r="B37" s="43" t="n">
        <v>46542</v>
      </c>
      <c r="C37" s="32" t="n">
        <v>33840</v>
      </c>
      <c r="D37" s="26" t="inlineStr">
        <is>
          <t>нет</t>
        </is>
      </c>
    </row>
    <row r="38">
      <c r="A38" s="24" t="n">
        <v>9</v>
      </c>
      <c r="B38" s="43" t="n">
        <v>46572</v>
      </c>
      <c r="C38" s="32" t="n">
        <v>33840</v>
      </c>
      <c r="D38" s="26" t="inlineStr">
        <is>
          <t>нет</t>
        </is>
      </c>
    </row>
    <row r="39">
      <c r="A39" s="24" t="n">
        <v>10</v>
      </c>
      <c r="B39" s="43" t="n">
        <v>46603</v>
      </c>
      <c r="C39" s="32" t="n">
        <v>33840</v>
      </c>
      <c r="D39" s="26" t="inlineStr">
        <is>
          <t>нет</t>
        </is>
      </c>
    </row>
    <row r="40">
      <c r="A40" s="24" t="n">
        <v>11</v>
      </c>
      <c r="B40" s="43" t="n">
        <v>46634</v>
      </c>
      <c r="C40" s="32" t="n">
        <v>33840</v>
      </c>
      <c r="D40" s="26" t="inlineStr">
        <is>
          <t>нет</t>
        </is>
      </c>
    </row>
    <row r="41">
      <c r="A41" s="24" t="n">
        <v>12</v>
      </c>
      <c r="B41" s="43" t="n">
        <v>46664</v>
      </c>
      <c r="C41" s="32" t="n">
        <v>33840</v>
      </c>
      <c r="D41" s="26" t="inlineStr">
        <is>
          <t>нет</t>
        </is>
      </c>
    </row>
    <row r="42">
      <c r="A42" s="24" t="n">
        <v>13</v>
      </c>
      <c r="B42" s="43" t="n">
        <v>46695</v>
      </c>
      <c r="C42" s="32" t="n">
        <v>33840</v>
      </c>
      <c r="D42" s="26" t="inlineStr">
        <is>
          <t>нет</t>
        </is>
      </c>
    </row>
    <row r="43">
      <c r="A43" s="24" t="n">
        <v>14</v>
      </c>
      <c r="B43" s="43" t="n">
        <v>46725</v>
      </c>
      <c r="C43" s="32" t="n">
        <v>33840</v>
      </c>
      <c r="D43" s="26" t="inlineStr">
        <is>
          <t>нет</t>
        </is>
      </c>
    </row>
    <row r="44">
      <c r="A44" s="24" t="n">
        <v>15</v>
      </c>
      <c r="B44" s="43" t="n">
        <v>46756</v>
      </c>
      <c r="C44" s="32" t="n">
        <v>33840</v>
      </c>
      <c r="D44" s="26" t="inlineStr">
        <is>
          <t>нет</t>
        </is>
      </c>
    </row>
    <row r="45">
      <c r="A45" s="24" t="n">
        <v>16</v>
      </c>
      <c r="B45" s="43" t="n">
        <v>46787</v>
      </c>
      <c r="C45" s="32" t="n">
        <v>33840</v>
      </c>
      <c r="D45" s="26" t="inlineStr">
        <is>
          <t>нет</t>
        </is>
      </c>
    </row>
    <row r="46">
      <c r="A46" s="24" t="n">
        <v>17</v>
      </c>
      <c r="B46" s="43" t="n">
        <v>46816</v>
      </c>
      <c r="C46" s="32" t="n">
        <v>33840</v>
      </c>
      <c r="D46" s="26" t="inlineStr">
        <is>
          <t>нет</t>
        </is>
      </c>
    </row>
    <row r="47">
      <c r="A47" s="24" t="n">
        <v>18</v>
      </c>
      <c r="B47" s="43" t="n">
        <v>46847</v>
      </c>
      <c r="C47" s="32" t="n">
        <v>33840</v>
      </c>
      <c r="D47" s="26" t="inlineStr">
        <is>
          <t>нет</t>
        </is>
      </c>
    </row>
    <row r="48">
      <c r="A48" s="24" t="n">
        <v>19</v>
      </c>
      <c r="B48" s="43" t="n">
        <v>46877</v>
      </c>
      <c r="C48" s="32" t="n">
        <v>33840</v>
      </c>
      <c r="D48" s="26" t="inlineStr">
        <is>
          <t>нет</t>
        </is>
      </c>
    </row>
    <row r="49">
      <c r="A49" s="24" t="n">
        <v>20</v>
      </c>
      <c r="B49" s="43" t="n">
        <v>46908</v>
      </c>
      <c r="C49" s="32" t="n">
        <v>33840</v>
      </c>
      <c r="D49" s="26" t="inlineStr">
        <is>
          <t>нет</t>
        </is>
      </c>
    </row>
    <row r="50">
      <c r="A50" s="24" t="n">
        <v>21</v>
      </c>
      <c r="B50" s="43" t="n">
        <v>46938</v>
      </c>
      <c r="C50" s="32" t="n">
        <v>33840</v>
      </c>
      <c r="D50" s="26" t="inlineStr">
        <is>
          <t>нет</t>
        </is>
      </c>
    </row>
    <row r="51">
      <c r="A51" s="24" t="n">
        <v>22</v>
      </c>
      <c r="B51" s="43" t="n">
        <v>46969</v>
      </c>
      <c r="C51" s="32" t="n">
        <v>33840</v>
      </c>
      <c r="D51" s="26" t="inlineStr">
        <is>
          <t>нет</t>
        </is>
      </c>
    </row>
    <row r="52">
      <c r="A52" s="24" t="n">
        <v>23</v>
      </c>
      <c r="B52" s="43" t="n">
        <v>47000</v>
      </c>
      <c r="C52" s="32" t="n">
        <v>33840</v>
      </c>
      <c r="D52" s="26" t="inlineStr">
        <is>
          <t>нет</t>
        </is>
      </c>
    </row>
    <row r="53">
      <c r="A53" s="24" t="n">
        <v>24</v>
      </c>
      <c r="B53" s="43" t="n">
        <v>47030</v>
      </c>
      <c r="C53" s="32" t="n">
        <v>33840</v>
      </c>
      <c r="D53" s="26" t="inlineStr">
        <is>
          <t>нет</t>
        </is>
      </c>
    </row>
    <row r="54">
      <c r="A54" s="24" t="n">
        <v>25</v>
      </c>
      <c r="B54" s="43" t="n">
        <v>47061</v>
      </c>
      <c r="C54" s="32" t="n">
        <v>33840</v>
      </c>
      <c r="D54" s="26" t="inlineStr">
        <is>
          <t>нет</t>
        </is>
      </c>
    </row>
    <row r="55">
      <c r="A55" s="24" t="n">
        <v>26</v>
      </c>
      <c r="B55" s="43" t="n">
        <v>47091</v>
      </c>
      <c r="C55" s="32" t="n">
        <v>33840</v>
      </c>
      <c r="D55" s="26" t="inlineStr">
        <is>
          <t>нет</t>
        </is>
      </c>
    </row>
    <row r="56">
      <c r="A56" s="24" t="n">
        <v>27</v>
      </c>
      <c r="B56" s="43" t="n">
        <v>47122</v>
      </c>
      <c r="C56" s="32" t="n">
        <v>33840</v>
      </c>
      <c r="D56" s="26" t="inlineStr">
        <is>
          <t>нет</t>
        </is>
      </c>
    </row>
    <row r="57">
      <c r="A57" s="24" t="n">
        <v>28</v>
      </c>
      <c r="B57" s="43" t="n">
        <v>47153</v>
      </c>
      <c r="C57" s="32" t="n">
        <v>33840</v>
      </c>
      <c r="D57" s="26" t="inlineStr">
        <is>
          <t>нет</t>
        </is>
      </c>
    </row>
    <row r="58">
      <c r="A58" s="24" t="n">
        <v>29</v>
      </c>
      <c r="B58" s="43" t="n">
        <v>47181</v>
      </c>
      <c r="C58" s="32" t="n">
        <v>33840</v>
      </c>
      <c r="D58" s="26" t="inlineStr">
        <is>
          <t>нет</t>
        </is>
      </c>
    </row>
    <row r="59">
      <c r="A59" s="24" t="n">
        <v>30</v>
      </c>
      <c r="B59" s="43" t="n">
        <v>47212</v>
      </c>
      <c r="C59" s="32" t="n">
        <v>33840</v>
      </c>
      <c r="D59" s="26" t="inlineStr">
        <is>
          <t>нет</t>
        </is>
      </c>
    </row>
    <row r="60">
      <c r="A60" s="24" t="n">
        <v>31</v>
      </c>
      <c r="B60" s="43" t="n">
        <v>47242</v>
      </c>
      <c r="C60" s="32" t="n">
        <v>33840</v>
      </c>
      <c r="D60" s="26" t="inlineStr">
        <is>
          <t>нет</t>
        </is>
      </c>
    </row>
    <row r="61">
      <c r="A61" s="24" t="n">
        <v>32</v>
      </c>
      <c r="B61" s="43" t="n">
        <v>47273</v>
      </c>
      <c r="C61" s="32" t="n">
        <v>33840</v>
      </c>
      <c r="D61" s="26" t="inlineStr">
        <is>
          <t>нет</t>
        </is>
      </c>
    </row>
    <row r="62">
      <c r="A62" s="24" t="n">
        <v>33</v>
      </c>
      <c r="B62" s="43" t="n">
        <v>47303</v>
      </c>
      <c r="C62" s="32" t="n">
        <v>33840</v>
      </c>
      <c r="D62" s="26" t="inlineStr">
        <is>
          <t>нет</t>
        </is>
      </c>
    </row>
    <row r="63">
      <c r="A63" s="24" t="n">
        <v>34</v>
      </c>
      <c r="B63" s="43" t="n">
        <v>47334</v>
      </c>
      <c r="C63" s="32" t="n">
        <v>33840</v>
      </c>
      <c r="D63" s="26" t="inlineStr">
        <is>
          <t>нет</t>
        </is>
      </c>
    </row>
    <row r="64">
      <c r="A64" s="24" t="n">
        <v>35</v>
      </c>
      <c r="B64" s="43" t="n">
        <v>47365</v>
      </c>
      <c r="C64" s="32" t="n">
        <v>33840</v>
      </c>
      <c r="D64" s="26" t="inlineStr">
        <is>
          <t>нет</t>
        </is>
      </c>
    </row>
    <row r="65">
      <c r="A65" s="24" t="n">
        <v>36</v>
      </c>
      <c r="B65" s="43" t="n">
        <v>47395</v>
      </c>
      <c r="C65" s="32" t="n">
        <v>33840</v>
      </c>
      <c r="D65" s="26" t="inlineStr">
        <is>
          <t>нет</t>
        </is>
      </c>
    </row>
    <row r="66">
      <c r="A66" s="24" t="n">
        <v>37</v>
      </c>
      <c r="B66" s="43" t="n">
        <v>47426</v>
      </c>
      <c r="C66" s="32" t="n">
        <v>33840</v>
      </c>
      <c r="D66" s="26" t="inlineStr">
        <is>
          <t>нет</t>
        </is>
      </c>
    </row>
    <row r="67">
      <c r="A67" s="24" t="n">
        <v>38</v>
      </c>
      <c r="B67" s="43" t="n">
        <v>47456</v>
      </c>
      <c r="C67" s="32" t="n">
        <v>33840</v>
      </c>
      <c r="D67" s="26" t="inlineStr">
        <is>
          <t>нет</t>
        </is>
      </c>
    </row>
    <row r="68">
      <c r="A68" s="24" t="n">
        <v>39</v>
      </c>
      <c r="B68" s="43" t="n">
        <v>47487</v>
      </c>
      <c r="C68" s="32" t="n">
        <v>33840</v>
      </c>
      <c r="D68" s="26" t="inlineStr">
        <is>
          <t>нет</t>
        </is>
      </c>
    </row>
    <row r="69">
      <c r="A69" s="24" t="n">
        <v>40</v>
      </c>
      <c r="B69" s="43" t="n">
        <v>47518</v>
      </c>
      <c r="C69" s="32" t="n">
        <v>33840</v>
      </c>
      <c r="D69" s="26" t="inlineStr">
        <is>
          <t>нет</t>
        </is>
      </c>
    </row>
    <row r="70">
      <c r="A70" s="24" t="n">
        <v>41</v>
      </c>
      <c r="B70" s="43" t="n">
        <v>47546</v>
      </c>
      <c r="C70" s="32" t="n">
        <v>33840</v>
      </c>
      <c r="D70" s="26" t="inlineStr">
        <is>
          <t>нет</t>
        </is>
      </c>
    </row>
    <row r="71">
      <c r="A71" s="24" t="n">
        <v>42</v>
      </c>
      <c r="B71" s="43" t="n">
        <v>47577</v>
      </c>
      <c r="C71" s="32" t="n">
        <v>33840</v>
      </c>
      <c r="D71" s="26" t="inlineStr">
        <is>
          <t>нет</t>
        </is>
      </c>
    </row>
    <row r="72">
      <c r="A72" s="24" t="n">
        <v>43</v>
      </c>
      <c r="B72" s="43" t="n">
        <v>47607</v>
      </c>
      <c r="C72" s="32" t="n">
        <v>33840</v>
      </c>
      <c r="D72" s="26" t="inlineStr">
        <is>
          <t>нет</t>
        </is>
      </c>
    </row>
    <row r="73">
      <c r="A73" s="24" t="n">
        <v>44</v>
      </c>
      <c r="B73" s="43" t="n">
        <v>47638</v>
      </c>
      <c r="C73" s="32" t="n">
        <v>33840</v>
      </c>
      <c r="D73" s="26" t="inlineStr">
        <is>
          <t>нет</t>
        </is>
      </c>
    </row>
    <row r="74">
      <c r="A74" s="24" t="n">
        <v>45</v>
      </c>
      <c r="B74" s="43" t="n">
        <v>47668</v>
      </c>
      <c r="C74" s="32" t="n">
        <v>33840</v>
      </c>
      <c r="D74" s="26" t="inlineStr">
        <is>
          <t>нет</t>
        </is>
      </c>
    </row>
    <row r="75">
      <c r="A75" s="24" t="n">
        <v>46</v>
      </c>
      <c r="B75" s="43" t="n">
        <v>47699</v>
      </c>
      <c r="C75" s="32" t="n">
        <v>33840</v>
      </c>
      <c r="D75" s="26" t="inlineStr">
        <is>
          <t>нет</t>
        </is>
      </c>
    </row>
    <row r="76">
      <c r="A76" s="24" t="n">
        <v>47</v>
      </c>
      <c r="B76" s="43" t="n">
        <v>47730</v>
      </c>
      <c r="C76" s="32" t="n">
        <v>33840</v>
      </c>
      <c r="D76" s="26" t="inlineStr">
        <is>
          <t>нет</t>
        </is>
      </c>
    </row>
    <row r="77">
      <c r="A77" s="24" t="n">
        <v>48</v>
      </c>
      <c r="B77" s="43" t="n">
        <v>47760</v>
      </c>
      <c r="C77" s="32" t="n">
        <v>33840</v>
      </c>
      <c r="D77" s="26" t="inlineStr">
        <is>
          <t>нет</t>
        </is>
      </c>
    </row>
    <row r="78">
      <c r="A78" s="24" t="n">
        <v>49</v>
      </c>
      <c r="B78" s="43" t="n">
        <v>47791</v>
      </c>
      <c r="C78" s="32" t="n">
        <v>33840</v>
      </c>
      <c r="D78" s="26" t="inlineStr">
        <is>
          <t>нет</t>
        </is>
      </c>
    </row>
    <row r="79">
      <c r="A79" s="24" t="n">
        <v>50</v>
      </c>
      <c r="B79" s="43" t="n">
        <v>47821</v>
      </c>
      <c r="C79" s="32" t="n">
        <v>33840</v>
      </c>
      <c r="D79" s="26" t="inlineStr">
        <is>
          <t>нет</t>
        </is>
      </c>
    </row>
    <row r="80">
      <c r="A80" s="24" t="n">
        <v>51</v>
      </c>
      <c r="B80" s="43" t="n">
        <v>47852</v>
      </c>
      <c r="C80" s="32" t="n">
        <v>33840</v>
      </c>
      <c r="D80" s="26" t="inlineStr">
        <is>
          <t>нет</t>
        </is>
      </c>
    </row>
    <row r="81">
      <c r="A81" s="24" t="n">
        <v>52</v>
      </c>
      <c r="B81" s="43" t="n">
        <v>47883</v>
      </c>
      <c r="C81" s="32" t="n">
        <v>33840</v>
      </c>
      <c r="D81" s="26" t="inlineStr">
        <is>
          <t>нет</t>
        </is>
      </c>
    </row>
    <row r="82">
      <c r="A82" s="24" t="n">
        <v>53</v>
      </c>
      <c r="B82" s="43" t="n">
        <v>47911</v>
      </c>
      <c r="C82" s="32" t="n">
        <v>33840</v>
      </c>
      <c r="D82" s="26" t="inlineStr">
        <is>
          <t>нет</t>
        </is>
      </c>
    </row>
    <row r="83">
      <c r="A83" s="24" t="n">
        <v>54</v>
      </c>
      <c r="B83" s="43" t="n">
        <v>47942</v>
      </c>
      <c r="C83" s="32" t="n">
        <v>33840</v>
      </c>
      <c r="D83" s="26" t="inlineStr">
        <is>
          <t>нет</t>
        </is>
      </c>
    </row>
    <row r="84">
      <c r="A84" s="24" t="n">
        <v>55</v>
      </c>
      <c r="B84" s="43" t="n">
        <v>47972</v>
      </c>
      <c r="C84" s="32" t="n">
        <v>33840</v>
      </c>
      <c r="D84" s="26" t="inlineStr">
        <is>
          <t>нет</t>
        </is>
      </c>
    </row>
    <row r="85">
      <c r="A85" s="24" t="n">
        <v>56</v>
      </c>
      <c r="B85" s="43" t="n">
        <v>48003</v>
      </c>
      <c r="C85" s="32" t="n">
        <v>33840</v>
      </c>
      <c r="D85" s="26" t="inlineStr">
        <is>
          <t>нет</t>
        </is>
      </c>
    </row>
    <row r="86">
      <c r="A86" s="24" t="n">
        <v>57</v>
      </c>
      <c r="B86" s="43" t="n">
        <v>48033</v>
      </c>
      <c r="C86" s="32" t="n">
        <v>33840</v>
      </c>
      <c r="D86" s="26" t="inlineStr">
        <is>
          <t>нет</t>
        </is>
      </c>
    </row>
    <row r="87">
      <c r="A87" s="24" t="n">
        <v>58</v>
      </c>
      <c r="B87" s="43" t="n">
        <v>48064</v>
      </c>
      <c r="C87" s="32" t="n">
        <v>33840</v>
      </c>
      <c r="D87" s="26" t="inlineStr">
        <is>
          <t>нет</t>
        </is>
      </c>
    </row>
    <row r="88">
      <c r="A88" s="24" t="n">
        <v>59</v>
      </c>
      <c r="B88" s="43" t="n">
        <v>48095</v>
      </c>
      <c r="C88" s="32" t="n">
        <v>31083.47</v>
      </c>
      <c r="D88" s="26" t="inlineStr">
        <is>
          <t>нет</t>
        </is>
      </c>
    </row>
    <row r="89">
      <c r="A89" s="10" t="inlineStr">
        <is>
          <t>Всего выплат по графику, ₽</t>
        </is>
      </c>
      <c r="C89" s="33">
        <f>SUM(C30:C88)</f>
        <v/>
      </c>
    </row>
    <row r="90">
      <c r="A90" s="10" t="inlineStr">
        <is>
          <t>В т. ч. проценты, ₽</t>
        </is>
      </c>
      <c r="C90" s="33">
        <f>C89-B5</f>
        <v/>
      </c>
    </row>
    <row r="92" ht="30" customHeight="1">
      <c r="A92" s="2" t="inlineStr">
        <is>
          <t>Даты платежей проставлены по графику банка (4-е число). Платёж 04.01.2027 уже выходит за период резерва и в операционный резерв до 25.12.2026 не включён.</t>
        </is>
      </c>
    </row>
  </sheetData>
  <mergeCells count="9">
    <mergeCell ref="A1:D1"/>
    <mergeCell ref="A4:D4"/>
    <mergeCell ref="A92:D92"/>
    <mergeCell ref="A21:D21"/>
    <mergeCell ref="A26:D26"/>
    <mergeCell ref="A25:D25"/>
    <mergeCell ref="A16:D16"/>
    <mergeCell ref="A2:D2"/>
    <mergeCell ref="A28:D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20" customWidth="1" min="3" max="3"/>
    <col width="56" customWidth="1" min="4" max="4"/>
  </cols>
  <sheetData>
    <row r="1">
      <c r="A1" s="1" t="inlineStr">
        <is>
          <t>ЛИЧНЫЕ ПЛАТЕЖИ (ОТДЕЛЬНО ОТ БИЗНЕСА) — 15.10–25.12.2026</t>
        </is>
      </c>
    </row>
    <row r="2" ht="17" customHeight="1">
      <c r="A2" s="2" t="inlineStr">
        <is>
          <t>Личный блок показан отдельно: средства бизнес-резерва на личные расходы не планируются. Основную работу на заводе сохраняем.</t>
        </is>
      </c>
    </row>
    <row r="4" ht="20" customHeight="1">
      <c r="A4" s="3" t="inlineStr">
        <is>
          <t>ЛИЧНЫЕ РАСХОДЫ</t>
        </is>
      </c>
    </row>
    <row r="5" ht="30" customHeight="1">
      <c r="A5" s="7" t="inlineStr">
        <is>
          <t>Статья</t>
        </is>
      </c>
      <c r="B5" s="7" t="inlineStr">
        <is>
          <t>₽/мес</t>
        </is>
      </c>
      <c r="C5" s="7" t="inlineStr">
        <is>
          <t>₽ за 72 дня</t>
        </is>
      </c>
      <c r="D5" s="7" t="inlineStr">
        <is>
          <t>Примечание</t>
        </is>
      </c>
    </row>
    <row r="6">
      <c r="A6" s="5" t="inlineStr">
        <is>
          <t>Аренда квартиры</t>
        </is>
      </c>
      <c r="B6" s="36" t="n">
        <v>20000</v>
      </c>
      <c r="C6" s="32">
        <f>B6*'Расходы бизнеса'!$B$8</f>
        <v/>
      </c>
    </row>
    <row r="7">
      <c r="A7" s="5" t="inlineStr">
        <is>
          <t>Старый автокредит</t>
        </is>
      </c>
      <c r="B7" s="36" t="n">
        <v>16500</v>
      </c>
      <c r="C7" s="32">
        <f>B7*'Расходы бизнеса'!$B$8</f>
        <v/>
      </c>
      <c r="D7" s="9" t="inlineStr">
        <is>
          <t>Может быть рефинансирован — тогда платёж внутри нового кредита</t>
        </is>
      </c>
    </row>
    <row r="8">
      <c r="A8" s="10" t="inlineStr">
        <is>
          <t>Итого личные расходы</t>
        </is>
      </c>
      <c r="B8" s="33">
        <f>SUM(B6:B7)</f>
        <v/>
      </c>
      <c r="C8" s="33">
        <f>SUM(C6:C7)</f>
        <v/>
      </c>
    </row>
    <row r="10" ht="20" customHeight="1">
      <c r="A10" s="3" t="inlineStr">
        <is>
          <t>ИСТОЧНИК ПОКРЫТИЯ — ЗАРПЛАТА НА ЗАВОДЕ</t>
        </is>
      </c>
    </row>
    <row r="11">
      <c r="A11" s="5" t="inlineStr">
        <is>
          <t>Зарплата (ориентир 120 000 ₽/мес)</t>
        </is>
      </c>
      <c r="B11" s="36" t="n">
        <v>120000</v>
      </c>
      <c r="C11" s="32">
        <f>B11*'Расходы бизнеса'!$B$8</f>
        <v/>
      </c>
    </row>
    <row r="12">
      <c r="A12" s="5" t="inlineStr">
        <is>
          <t>Минимум (110 000 ₽/мес)</t>
        </is>
      </c>
      <c r="B12" s="36" t="n">
        <v>110000</v>
      </c>
      <c r="C12" s="32">
        <f>B12*'Расходы бизнеса'!$B$8</f>
        <v/>
      </c>
    </row>
    <row r="13">
      <c r="A13" s="5" t="inlineStr">
        <is>
          <t>Максимум (130 000 ₽/мес)</t>
        </is>
      </c>
      <c r="B13" s="36" t="n">
        <v>130000</v>
      </c>
      <c r="C13" s="32">
        <f>B13*'Расходы бизнеса'!$B$8</f>
        <v/>
      </c>
    </row>
    <row r="15">
      <c r="A15" s="10" t="inlineStr">
        <is>
          <t>Сальдо личного блока (зарплата − личные расходы)</t>
        </is>
      </c>
      <c r="C15" s="33">
        <f>C11-C8</f>
        <v/>
      </c>
      <c r="D15" s="9" t="inlineStr">
        <is>
          <t>Личные расходы покрыты зарплатой завода; при этом основную работу сохраняем</t>
        </is>
      </c>
    </row>
    <row r="17" ht="30" customHeight="1">
      <c r="A17" s="2" t="inlineStr">
        <is>
          <t>Если старый автокредит будет рефинансирован в новый кредит, его платёж 16 500 ₽/мес исчезнет из личного блока, а сумма долга войдёт в 923 000 ₽ — не учитывать дважды.</t>
        </is>
      </c>
    </row>
  </sheetData>
  <mergeCells count="5">
    <mergeCell ref="A1:D1"/>
    <mergeCell ref="A17:D17"/>
    <mergeCell ref="A4:D4"/>
    <mergeCell ref="A2:D2"/>
    <mergeCell ref="A10:D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F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62" customWidth="1" min="6" max="6"/>
  </cols>
  <sheetData>
    <row r="1">
      <c r="A1" s="1" t="inlineStr">
        <is>
          <t>ОЦЕНКА ВТОРОГО ПВЗ (привоз 100–120 товаров/день)</t>
        </is>
      </c>
    </row>
    <row r="2" ht="26" customHeight="1">
      <c r="A2" s="2" t="inlineStr">
        <is>
          <t>Расчёт — экстраполяция экономики вашего ПВЗ на меньший объём: ставки и структура расходов взяты из ваших данных, объём и часть статей расходов масштабируются. Жёлтые ячейки — ввод. Это модель для переговоров, не факт: реальные цифры берутся из кабинета Ozon владельца точки.</t>
        </is>
      </c>
    </row>
    <row r="4" ht="20" customHeight="1">
      <c r="A4" s="3" t="inlineStr">
        <is>
          <t>1. ОБЪЁМ И ВОЗНАГРАЖДЕНИЕ (масштаб от вашего ПВЗ)</t>
        </is>
      </c>
    </row>
    <row r="5">
      <c r="A5" s="10" t="inlineStr">
        <is>
          <t>Показатель</t>
        </is>
      </c>
      <c r="B5" s="44" t="inlineStr">
        <is>
          <t>Значение</t>
        </is>
      </c>
      <c r="F5" s="10" t="inlineStr">
        <is>
          <t>Примечание</t>
        </is>
      </c>
    </row>
    <row r="6">
      <c r="A6" s="45" t="inlineStr">
        <is>
          <t>Привоз, товаров/день</t>
        </is>
      </c>
      <c r="B6" s="21" t="n">
        <v>110</v>
      </c>
      <c r="F6" s="46" t="inlineStr">
        <is>
          <t>У вашего ПВЗ ~250/день; у рассматриваемой точки 100–120</t>
        </is>
      </c>
    </row>
    <row r="7">
      <c r="A7" s="45" t="inlineStr">
        <is>
          <t>Тариф drop-off, ₽/товар</t>
        </is>
      </c>
      <c r="B7" s="36" t="n">
        <v>10</v>
      </c>
      <c r="F7" s="46" t="inlineStr">
        <is>
          <t>Ваша модель: 250 × 10 ₽ × 30 = 75 000 ₽; факт Q3 = 77 836 ₽ (≈10,4 ₽/товар)</t>
        </is>
      </c>
    </row>
    <row r="8">
      <c r="A8" s="45" t="inlineStr">
        <is>
          <t>Выдач на 1 привезённый товар</t>
        </is>
      </c>
      <c r="B8" s="47" t="n">
        <v>0.77</v>
      </c>
      <c r="F8" s="46" t="inlineStr">
        <is>
          <t>У вас: ~5 700–5 800 выдач при ~7 500 привозов в месяц</t>
        </is>
      </c>
    </row>
    <row r="9">
      <c r="A9" s="45" t="inlineStr">
        <is>
          <t>Тариф выдачи, ₽ за выдачу</t>
        </is>
      </c>
      <c r="B9" s="36" t="n">
        <v>22.91</v>
      </c>
      <c r="F9" s="46" t="inlineStr">
        <is>
          <t>Факт Q3: 131 760 ₽ / 5 750 выдач</t>
        </is>
      </c>
    </row>
    <row r="10">
      <c r="A10" s="45" t="inlineStr">
        <is>
          <t>Drop-off, ₽/мес</t>
        </is>
      </c>
      <c r="B10" s="32">
        <f>B6*30*B7</f>
        <v/>
      </c>
    </row>
    <row r="11">
      <c r="A11" s="45" t="inlineStr">
        <is>
          <t>Выдач, шт/мес</t>
        </is>
      </c>
      <c r="B11" s="48">
        <f>B6*30*B8</f>
        <v/>
      </c>
    </row>
    <row r="12">
      <c r="A12" s="45" t="inlineStr">
        <is>
          <t>Выдача, ₽/мес</t>
        </is>
      </c>
      <c r="B12" s="32">
        <f>B11*B9</f>
        <v/>
      </c>
    </row>
    <row r="13">
      <c r="A13" s="45" t="inlineStr">
        <is>
          <t>Прочие категории, ₽/мес</t>
        </is>
      </c>
      <c r="B13" s="32">
        <f>B6/250*31911.31</f>
        <v/>
      </c>
      <c r="F13" s="46" t="inlineStr">
        <is>
          <t>Пропорционально объёму (Q3 у вас: 31 911 ₽/мес; сверить с актами)</t>
        </is>
      </c>
    </row>
    <row r="14">
      <c r="A14" s="49" t="inlineStr">
        <is>
          <t>ВОЗНАГРАЖДЕНИЕ, ₽/мес</t>
        </is>
      </c>
      <c r="B14" s="33">
        <f>B10+B12+B13</f>
        <v/>
      </c>
      <c r="F14" s="46" t="inlineStr">
        <is>
          <t>Проверка: 241 507 ₽ × (110/250) ≈ 106 263 ₽</t>
        </is>
      </c>
    </row>
    <row r="16" ht="20" customHeight="1">
      <c r="A16" s="3" t="inlineStr">
        <is>
          <t>2. РАСХОДЫ ТОЧКИ (ввод)</t>
        </is>
      </c>
    </row>
    <row r="17">
      <c r="A17" s="45" t="inlineStr">
        <is>
          <t>Аренда, ₽/мес</t>
        </is>
      </c>
      <c r="B17" s="34" t="n">
        <v>30000</v>
      </c>
      <c r="F17" s="46" t="inlineStr">
        <is>
          <t>У вас 42 000; у маленькой точки обычно меньше — уточнить по договору</t>
        </is>
      </c>
    </row>
    <row r="18">
      <c r="A18" s="45" t="inlineStr">
        <is>
          <t>Электричество, ₽/мес</t>
        </is>
      </c>
      <c r="B18" s="34" t="n">
        <v>2500</v>
      </c>
    </row>
    <row r="19">
      <c r="A19" s="45" t="inlineStr">
        <is>
          <t>Интернет, ₽/мес</t>
        </is>
      </c>
      <c r="B19" s="34" t="n">
        <v>1800</v>
      </c>
    </row>
    <row r="20">
      <c r="A20" s="45" t="inlineStr">
        <is>
          <t>Камеры, ₽/мес</t>
        </is>
      </c>
      <c r="B20" s="34" t="n">
        <v>2100</v>
      </c>
    </row>
    <row r="21">
      <c r="A21" s="45" t="inlineStr">
        <is>
          <t>Cashback селлерам, ₽/мес</t>
        </is>
      </c>
      <c r="B21" s="35">
        <f>B6/250*1000*30</f>
        <v/>
      </c>
      <c r="F21" s="46" t="inlineStr">
        <is>
          <t>Масштабируется от объёма: 1 000 ₽/день у вас при 250 привозов (здесь 440 ₽/день × 30)</t>
        </is>
      </c>
    </row>
    <row r="22">
      <c r="A22" s="45" t="inlineStr">
        <is>
          <t>Сотрудников, чел.</t>
        </is>
      </c>
      <c r="B22" s="21" t="n">
        <v>1</v>
      </c>
      <c r="F22" s="46" t="inlineStr">
        <is>
          <t>Ключевой параметр: при 100–120 привозов/день точка тянет одного сотрудника</t>
        </is>
      </c>
    </row>
    <row r="23">
      <c r="A23" s="45" t="inlineStr">
        <is>
          <t>Зарплата на руки, ₽/мес на человека</t>
        </is>
      </c>
      <c r="B23" s="34" t="n">
        <v>27000</v>
      </c>
    </row>
    <row r="25" ht="20" customHeight="1">
      <c r="A25" s="3" t="inlineStr">
        <is>
          <t>3. ПЕРСОНАЛ</t>
        </is>
      </c>
    </row>
    <row r="26">
      <c r="A26" s="45" t="inlineStr">
        <is>
          <t>Gross ФОТ (с НДФЛ 13%)</t>
        </is>
      </c>
      <c r="B26" s="32">
        <f>B22*B23/(1-0.13)</f>
        <v/>
      </c>
    </row>
    <row r="27">
      <c r="A27" s="45" t="inlineStr">
        <is>
          <t>Страховые взносы 30%</t>
        </is>
      </c>
      <c r="B27" s="32">
        <f>B26*0.3</f>
        <v/>
      </c>
    </row>
    <row r="28">
      <c r="A28" s="45" t="inlineStr">
        <is>
          <t>Травматизм (300 ₽/чел.)</t>
        </is>
      </c>
      <c r="B28" s="35">
        <f>B22*300</f>
        <v/>
      </c>
    </row>
    <row r="29">
      <c r="A29" s="45" t="inlineStr">
        <is>
          <t>Полная стоимость ФОТ (УСН)</t>
        </is>
      </c>
      <c r="B29" s="33">
        <f>B26+B27+B28</f>
        <v/>
      </c>
    </row>
    <row r="30">
      <c r="A30" s="45" t="inlineStr">
        <is>
          <t>Персонал на АУСН (только gross)</t>
        </is>
      </c>
      <c r="B30" s="32">
        <f>B26</f>
        <v/>
      </c>
      <c r="F30" s="46" t="inlineStr">
        <is>
          <t>На АУСН взносы за сотрудников 0% — для маленькой точки это решающая экономия</t>
        </is>
      </c>
    </row>
    <row r="32" ht="20" customHeight="1">
      <c r="A32" s="3" t="inlineStr">
        <is>
          <t>4. НАЛОГИ И ВЗНОСЫ ИП (точка отдельным ИП)</t>
        </is>
      </c>
    </row>
    <row r="33">
      <c r="B33" s="44" t="inlineStr">
        <is>
          <t>АУСН 8%</t>
        </is>
      </c>
      <c r="C33" s="44" t="inlineStr">
        <is>
          <t>УСН 6%</t>
        </is>
      </c>
      <c r="F33" s="10" t="inlineStr">
        <is>
          <t>Примечание</t>
        </is>
      </c>
    </row>
    <row r="34">
      <c r="A34" s="45" t="inlineStr">
        <is>
          <t>Ставка налога</t>
        </is>
      </c>
      <c r="B34" s="42" t="n">
        <v>0.08</v>
      </c>
      <c r="C34" s="42" t="n">
        <v>0.06</v>
      </c>
    </row>
    <row r="35">
      <c r="A35" s="45" t="inlineStr">
        <is>
          <t>Налог до уменьшения</t>
        </is>
      </c>
      <c r="B35" s="32">
        <f>$B$14*B34</f>
        <v/>
      </c>
      <c r="C35" s="32">
        <f>$B$14*C34</f>
        <v/>
      </c>
    </row>
    <row r="36">
      <c r="A36" s="45" t="inlineStr">
        <is>
          <t>Уменьшение налога взносами (≤50%)</t>
        </is>
      </c>
      <c r="C36" s="32">
        <f>MIN(4782.5+($B$14*12-300000)*0.01/12+B27+B28,C35*0.5)</f>
        <v/>
      </c>
      <c r="F36" s="46" t="inlineStr">
        <is>
          <t>Свои взносы (4 782,50 + 1%) + взносы за сотрудника; лимит 50%</t>
        </is>
      </c>
    </row>
    <row r="37">
      <c r="A37" s="45" t="inlineStr">
        <is>
          <t>ВНиМ ИП (АУСН, 2 959 ₽/год)</t>
        </is>
      </c>
      <c r="B37" s="36" t="n">
        <v>246.58</v>
      </c>
      <c r="C37" s="32" t="n">
        <v>0</v>
      </c>
    </row>
    <row r="38">
      <c r="A38" s="49" t="inlineStr">
        <is>
          <t>Итого налоги и взносы ИП, ₽/мес</t>
        </is>
      </c>
      <c r="B38" s="33">
        <f>B35+B37</f>
        <v/>
      </c>
      <c r="C38" s="33">
        <f>C35-C36+4782.5+($B$14*12-300000)*0.01/12</f>
        <v/>
      </c>
      <c r="F38" s="46" t="inlineStr">
        <is>
          <t>УСН: налог после уменьшения + фиксвзносы 4 782,50 + 1% свыше 300 000 ₽</t>
        </is>
      </c>
    </row>
    <row r="40" ht="20" customHeight="1">
      <c r="A40" s="3" t="inlineStr">
        <is>
          <t>5. ИТОГО: ПРИБЫЛЬ ТОЧКИ ПРИ РАЗНЫХ УСЛОВИЯХ</t>
        </is>
      </c>
    </row>
    <row r="41">
      <c r="A41" s="10" t="inlineStr">
        <is>
          <t>Показатель</t>
        </is>
      </c>
      <c r="B41" s="44" t="inlineStr">
        <is>
          <t>АУСН, 1 сотрудник</t>
        </is>
      </c>
      <c r="C41" s="44" t="inlineStr">
        <is>
          <t>УСН, 1 сотрудник</t>
        </is>
      </c>
      <c r="D41" s="44" t="inlineStr">
        <is>
          <t>АУСН, 2 сотрудника</t>
        </is>
      </c>
      <c r="E41" s="44" t="inlineStr">
        <is>
          <t>УСН, 2 сотрудника</t>
        </is>
      </c>
    </row>
    <row r="42">
      <c r="A42" s="45" t="inlineStr">
        <is>
          <t>Постоянные расходы (аренда, камеры, интернет, свет, cashback)</t>
        </is>
      </c>
      <c r="B42" s="32">
        <f>SUM(B17:B21)</f>
        <v/>
      </c>
      <c r="C42" s="32">
        <f>SUM(B17:B21)</f>
        <v/>
      </c>
      <c r="D42" s="32">
        <f>SUM(B17:B21)</f>
        <v/>
      </c>
      <c r="E42" s="32">
        <f>SUM(B17:B21)</f>
        <v/>
      </c>
    </row>
    <row r="43">
      <c r="A43" s="45" t="inlineStr">
        <is>
          <t>Персонал</t>
        </is>
      </c>
      <c r="B43" s="32">
        <f>B30</f>
        <v/>
      </c>
      <c r="C43" s="32">
        <f>B29</f>
        <v/>
      </c>
      <c r="D43" s="32">
        <f>B30/B22*2</f>
        <v/>
      </c>
      <c r="E43" s="32">
        <f>B29/B22*2</f>
        <v/>
      </c>
    </row>
    <row r="44">
      <c r="A44" s="45" t="inlineStr">
        <is>
          <t>Налоги и взносы ИП</t>
        </is>
      </c>
      <c r="B44" s="32">
        <f>B38</f>
        <v/>
      </c>
      <c r="C44" s="32">
        <f>C38</f>
        <v/>
      </c>
      <c r="D44" s="32">
        <f>B38</f>
        <v/>
      </c>
      <c r="E44" s="32">
        <f>C38</f>
        <v/>
      </c>
    </row>
    <row r="45">
      <c r="A45" s="49" t="inlineStr">
        <is>
          <t>ИТОГО расходов, ₽/мес</t>
        </is>
      </c>
      <c r="B45" s="33">
        <f>B42+B43+B44</f>
        <v/>
      </c>
      <c r="C45" s="33">
        <f>C42+C43+C44</f>
        <v/>
      </c>
      <c r="D45" s="33">
        <f>D42+D43+D44</f>
        <v/>
      </c>
      <c r="E45" s="33">
        <f>E42+E43+E44</f>
        <v/>
      </c>
    </row>
    <row r="46">
      <c r="A46" s="45" t="inlineStr">
        <is>
          <t>Вознаграждение Ozon, ₽/мес</t>
        </is>
      </c>
      <c r="B46" s="32">
        <f>$B$14</f>
        <v/>
      </c>
      <c r="C46" s="32">
        <f>$B$14</f>
        <v/>
      </c>
      <c r="D46" s="32">
        <f>$B$14</f>
        <v/>
      </c>
      <c r="E46" s="32">
        <f>$B$14</f>
        <v/>
      </c>
    </row>
    <row r="47">
      <c r="A47" s="49" t="inlineStr">
        <is>
          <t>ПРИБЫЛЬ, ₽/мес</t>
        </is>
      </c>
      <c r="B47" s="33">
        <f>B46-B45</f>
        <v/>
      </c>
      <c r="C47" s="33">
        <f>C46-C45</f>
        <v/>
      </c>
      <c r="D47" s="33">
        <f>D46-D45</f>
        <v/>
      </c>
      <c r="E47" s="33">
        <f>E46-E45</f>
        <v/>
      </c>
    </row>
    <row r="49" ht="20" customHeight="1">
      <c r="A49" s="3" t="inlineStr">
        <is>
          <t>6. ОРИЕНТИР ЦЕНЫ ПОКУПКИ</t>
        </is>
      </c>
    </row>
    <row r="50">
      <c r="A50" s="45" t="inlineStr">
        <is>
          <t>Мультипликатор вашей сделки (мес. вознаграждения)</t>
        </is>
      </c>
      <c r="B50" s="50" t="n">
        <v>2.8</v>
      </c>
      <c r="F50" s="46" t="inlineStr">
        <is>
          <t>675 000 ₽ / 241 507 ₽ = 2,8 мес. вознаграждения</t>
        </is>
      </c>
    </row>
    <row r="51">
      <c r="A51" s="45" t="inlineStr">
        <is>
          <t>Цена по мультипликатору (2,8 × вознаграждение)</t>
        </is>
      </c>
      <c r="B51" s="35">
        <f>B14*B50</f>
        <v/>
      </c>
    </row>
    <row r="52">
      <c r="A52" s="45" t="inlineStr">
        <is>
          <t>Цена по прибыли, 12 мес. (АУСН, 1 сотрудник)</t>
        </is>
      </c>
      <c r="B52" s="35">
        <f>B47*12</f>
        <v/>
      </c>
    </row>
    <row r="53">
      <c r="A53" s="45" t="inlineStr">
        <is>
          <t>Цена по прибыли, 18 мес. (АУСН, 1 сотрудник)</t>
        </is>
      </c>
      <c r="B53" s="35">
        <f>B47*18</f>
        <v/>
      </c>
    </row>
    <row r="55" ht="30" customHeight="1">
      <c r="A55" s="51" t="inlineStr">
        <is>
          <t>ВЫВОД: ориентир цены ≈ 150 000 – 300 000 ₽ — только при 1 сотруднике и АУСН и подтверждённых цифрах кабинета. При двух сотрудниках точка убыточна — покупать нельзя (цена = стоимость оборудования).</t>
        </is>
      </c>
    </row>
    <row r="57" ht="20" customHeight="1">
      <c r="A57" s="3" t="inlineStr">
        <is>
          <t>7. СТРЕСС-ТЕСТ: МИНУС 30% ОБЪЁМА (72 привоза/день)</t>
        </is>
      </c>
    </row>
    <row r="58">
      <c r="A58" s="45" t="inlineStr">
        <is>
          <t>Вознаграждение, ₽/мес</t>
        </is>
      </c>
      <c r="B58" s="32">
        <f>B14*0.7</f>
        <v/>
      </c>
    </row>
    <row r="59">
      <c r="A59" s="45" t="inlineStr">
        <is>
          <t>Расходы (АУСН, 1 сотрудник; cashback тоже падает)</t>
        </is>
      </c>
      <c r="B59" s="32">
        <f>B17+B18+B19+B20+B21*0.7+B30+B35*0.7+B37</f>
        <v/>
      </c>
    </row>
    <row r="60">
      <c r="A60" s="49" t="inlineStr">
        <is>
          <t>Прибыль, ₽/мес</t>
        </is>
      </c>
      <c r="B60" s="33">
        <f>B58-B59</f>
        <v/>
      </c>
      <c r="F60" s="46" t="inlineStr">
        <is>
          <t>У вашего ПВЗ drop-off за год был от 59 477 до 181 365 ₽/мес — сезонность реальна</t>
        </is>
      </c>
    </row>
    <row r="62" ht="20" customHeight="1">
      <c r="A62" s="3" t="inlineStr">
        <is>
          <t>8. ЧТО ПРОВЕРИТЬ ПЕРЕД ПОКУПКОЙ (может собрать жена, работая там)</t>
        </is>
      </c>
    </row>
    <row r="63" ht="26" customHeight="1">
      <c r="A63" s="52" t="inlineStr">
        <is>
          <t>1. Скриншоты вознаграждения из кабинета Ozon за 6–12 месяцев: не среднее, а тренд и сезонность.</t>
        </is>
      </c>
      <c r="B63" s="30" t="n"/>
      <c r="C63" s="30" t="n"/>
      <c r="D63" s="30" t="n"/>
      <c r="E63" s="30" t="n"/>
      <c r="F63" s="31" t="n"/>
    </row>
    <row r="64" ht="26" customHeight="1">
      <c r="A64" s="52" t="inlineStr">
        <is>
          <t>2. Фактическое число выдач и привозов в день, количество активных селлеров, долги по cashback (типичная скрытая ответственность при покупке ПВЗ).</t>
        </is>
      </c>
      <c r="B64" s="30" t="n"/>
      <c r="C64" s="30" t="n"/>
      <c r="D64" s="30" t="n"/>
      <c r="E64" s="30" t="n"/>
      <c r="F64" s="31" t="n"/>
    </row>
    <row r="65" ht="26" customHeight="1">
      <c r="A65" s="52" t="inlineStr">
        <is>
          <t>3. Договор аренды: срок, ставка, долги; рейтинг и штрафы в кабинете Ozon; состояние оборудования (стеллажи, ПК, сканеры, камеры).</t>
        </is>
      </c>
      <c r="B65" s="30" t="n"/>
      <c r="C65" s="30" t="n"/>
      <c r="D65" s="30" t="n"/>
      <c r="E65" s="30" t="n"/>
      <c r="F65" s="31" t="n"/>
    </row>
    <row r="66" ht="26" customHeight="1">
      <c r="A66" s="52" t="inlineStr">
        <is>
          <t>4. Почему продают и на каких условиях передаётся договор с Ozon — только официальная переоформка, не «теневая» передача.</t>
        </is>
      </c>
      <c r="B66" s="30" t="n"/>
      <c r="C66" s="30" t="n"/>
      <c r="D66" s="30" t="n"/>
      <c r="E66" s="30" t="n"/>
      <c r="F66" s="31" t="n"/>
    </row>
    <row r="67" ht="26" customHeight="1">
      <c r="A67" s="52" t="inlineStr">
        <is>
          <t>5. Можно ли одному ИП держать два ПВЗ — уточнить у менеджера Ozon; на одном ИП фиксированные взносы одни (экономия ~4 783 ₽/мес на второй точке).</t>
        </is>
      </c>
      <c r="B67" s="30" t="n"/>
      <c r="C67" s="30" t="n"/>
      <c r="D67" s="30" t="n"/>
      <c r="E67" s="30" t="n"/>
      <c r="F67" s="31" t="n"/>
    </row>
    <row r="68" ht="26" customHeight="1">
      <c r="A68" s="52" t="inlineStr">
        <is>
          <t>6. АУСН для второй точки критичен: экономия взносов за персонал ~9 600 ₽/мес — именно она превращает минус в плюс при одном сотруднике.</t>
        </is>
      </c>
      <c r="B68" s="30" t="n"/>
      <c r="C68" s="30" t="n"/>
      <c r="D68" s="30" t="n"/>
      <c r="E68" s="30" t="n"/>
      <c r="F68" s="31" t="n"/>
    </row>
    <row r="69" ht="26" customHeight="1">
      <c r="A69" s="52" t="inlineStr">
        <is>
          <t>7. Резерв: вторая точка на старте тоже требует денег (ориентировочно 150–250 тыс. ₽) — они конкурируют с резервом первой точки и платежами по кредиту 923 000 ₽.</t>
        </is>
      </c>
      <c r="B69" s="30" t="n"/>
      <c r="C69" s="30" t="n"/>
      <c r="D69" s="30" t="n"/>
      <c r="E69" s="30" t="n"/>
      <c r="F69" s="31" t="n"/>
    </row>
    <row r="70" ht="26" customHeight="1">
      <c r="A70" s="52" t="inlineStr">
        <is>
          <t>8. Альтернатива без риска: жена работает там за 27 000 ₽/мес, собирает реальные цифры 2–3 месяца — и тогда торг с фактами, а не со словами продавца.</t>
        </is>
      </c>
      <c r="B70" s="30" t="n"/>
      <c r="C70" s="30" t="n"/>
      <c r="D70" s="30" t="n"/>
      <c r="E70" s="30" t="n"/>
      <c r="F70" s="31" t="n"/>
    </row>
  </sheetData>
  <mergeCells count="19">
    <mergeCell ref="A16:F16"/>
    <mergeCell ref="A66:F66"/>
    <mergeCell ref="A55:F55"/>
    <mergeCell ref="A57:F57"/>
    <mergeCell ref="A2:F2"/>
    <mergeCell ref="A32:F32"/>
    <mergeCell ref="A4:F4"/>
    <mergeCell ref="A62:F62"/>
    <mergeCell ref="A25:F25"/>
    <mergeCell ref="A63:F63"/>
    <mergeCell ref="A68:F68"/>
    <mergeCell ref="A67:F67"/>
    <mergeCell ref="A40:F40"/>
    <mergeCell ref="A64:F64"/>
    <mergeCell ref="A49:F49"/>
    <mergeCell ref="A1:F1"/>
    <mergeCell ref="A70:F70"/>
    <mergeCell ref="A69:F69"/>
    <mergeCell ref="A65:F6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50" customWidth="1" min="2" max="2"/>
  </cols>
  <sheetData>
    <row r="1">
      <c r="A1" s="1" t="inlineStr">
        <is>
          <t>ДОПУЩЕНИЯ, НЕИЗВЕСТНЫЕ СУММЫ И ВОПРОСЫ ДЛЯ ПРОВЕРКИ</t>
        </is>
      </c>
    </row>
    <row r="2" ht="30" customHeight="1">
      <c r="A2" s="2" t="inlineStr">
        <is>
          <t>Модель построена на данных владельца (скриншоты вознаграждения Ozon за янв–сен 2026, вводные по расходам, документам банка). Все суммы — ориентировочные модельные начисления, не подтверждённые фактические платежи и не налоговая консультация.</t>
        </is>
      </c>
    </row>
    <row r="4" ht="30" customHeight="1">
      <c r="A4" s="27" t="n">
        <v>1</v>
      </c>
      <c r="B4" s="28" t="inlineStr">
        <is>
          <t>Вознаграждение Ozon по скриншотам — начисления в кабинете, НЕ подтверждённая чистая прибыль и НЕ банковское поступление. Drop-off и «Выдача» уже входят в «Всего» и в модели не прибавляются повторно.</t>
        </is>
      </c>
    </row>
    <row r="5" ht="17" customHeight="1">
      <c r="A5" s="27" t="n">
        <v>2</v>
      </c>
      <c r="B5" s="28" t="inlineStr">
        <is>
          <t>«Прочие категории» (229 473,93 ₽ за 9 мес.) рассчитаны как разница — сверить с актами Ozon.</t>
        </is>
      </c>
    </row>
    <row r="6" ht="30" customHeight="1">
      <c r="A6" s="27" t="n">
        <v>3</v>
      </c>
      <c r="B6" s="28" t="inlineStr">
        <is>
          <t>Налоговая база — модельная: Q3-среднее 241 507,06 ₽/мес (альтернатива — среднее янв–сен 254 991,19 ₽/мес). Фактическая база зависит от начислений за период работы с 15.10.2026.</t>
        </is>
      </c>
    </row>
    <row r="7" ht="43" customHeight="1">
      <c r="A7" s="27" t="n">
        <v>4</v>
      </c>
      <c r="B7" s="28" t="inlineStr">
        <is>
          <t>УСН 6%: уменьшение налога страховыми взносами ограничено 50% (7 245,20 ₽/мес). Собственных взносов ИП (6 947,57 ₽/мес) не хватает для полного уменьшения — в модели взносы за сотрудников включены в уменьшение (переключатель B11). Право на такое уменьшение уточнить у бухгалтера; без него налог 7 542,83 ₽/мес, резерв +714 ₽.</t>
        </is>
      </c>
    </row>
    <row r="8" ht="30" customHeight="1">
      <c r="A8" s="27" t="n">
        <v>5</v>
      </c>
      <c r="B8" s="28" t="inlineStr">
        <is>
          <t>Ставка страховых взносов 30% и травматизм 300 ₽/чел./мес — ориентиры (ранее встречался ориентир 8 100 ₽ на сотрудника). Подтвердить у бухгалтера; на листе «Расходы бизнеса» есть проверка чувствительности.</t>
        </is>
      </c>
    </row>
    <row r="9" ht="43" customHeight="1">
      <c r="A9" s="27" t="n">
        <v>6</v>
      </c>
      <c r="B9" s="28" t="inlineStr">
        <is>
          <t>АУСН 8% (по открытым источникам 2026 г.): тариф страховых взносов за сотрудников 0% (ч. 1 ст. 18 ФЗ № 17-ФЗ); ИП освобождён от фиксированных взносов «за себя» (57 390 ₽/год) и от 1% свыше 300 000 ₽; сохраняется фиксированный ВНиМ 2 959 ₽/год = 246,58 ₽/мес (платится только при наличии сотрудников). Уменьшения налога взносами на АУСН нет.</t>
        </is>
      </c>
    </row>
    <row r="10" ht="43" customHeight="1">
      <c r="A10" s="27" t="n">
        <v>7</v>
      </c>
      <c r="B10" s="28" t="inlineStr">
        <is>
          <t>АУСН — экспериментальный режим (действует до 31.12.2027). Оренбургская область присоединилась с 01.01.2025 (Закон Оренбургской области от 29.11.2024 № 1292/547-VII-ОЗ). Проверить: лимит дохода ≤ 60 млн ₽/год, число сотрудников ≤ 5, расчёты через уполномоченный банк, допустимость вида деятельности/схемы с Ozon, невозможность добровольно уйти с режима в течение 12 месяцев.</t>
        </is>
      </c>
    </row>
    <row r="11" ht="17" customHeight="1">
      <c r="A11" s="27" t="n">
        <v>8</v>
      </c>
      <c r="B11" s="28" t="inlineStr">
        <is>
          <t>Даты фактической уплаты налогов и взносов уточнить (фиксированные взносы ИП — до 31.12.2026); в модели — помесячный эквивалент.</t>
        </is>
      </c>
    </row>
    <row r="12" ht="30" customHeight="1">
      <c r="A12" s="27" t="n">
        <v>9</v>
      </c>
      <c r="B12" s="28" t="inlineStr">
        <is>
          <t>Октябрьская частичная выплата 25.11.2026 — сумма неизвестна, в резерв не заложена. Грубая оценка 136 853,81 ₽ (17/30 от Q3-среднего) — только ориентир: не гарантия и не чистый доход.</t>
        </is>
      </c>
    </row>
    <row r="13" ht="17" customHeight="1">
      <c r="A13" s="27" t="n">
        <v>10</v>
      </c>
      <c r="B13" s="28" t="inlineStr">
        <is>
          <t>Cashback 1 000 ₽/день (72 000 ₽ за период) — один расход; не дублировать как отдельную логистику/доставку.</t>
        </is>
      </c>
    </row>
    <row r="14" ht="30" customHeight="1">
      <c r="A14" s="27" t="n">
        <v>11</v>
      </c>
      <c r="B14" s="28" t="inlineStr">
        <is>
          <t>Прочие траты (ремонт, расходники, бухгалтерия и т. п.) владельцем не подтверждены — редактируемая строка на листе «Расходы бизнеса», по умолчанию 0 ₽.</t>
        </is>
      </c>
    </row>
    <row r="15" ht="30" customHeight="1">
      <c r="A15" s="27" t="n">
        <v>12</v>
      </c>
      <c r="B15" s="28" t="inlineStr">
        <is>
          <t>Аренда, зарплаты и счета могут требовать оплаты полными месячными суммами — уточнить даты платежей; для этого в модели есть «осторожный вариант» (3 полных месяца).</t>
        </is>
      </c>
    </row>
    <row r="16" ht="43" customHeight="1">
      <c r="A16" s="27" t="n">
        <v>13</v>
      </c>
      <c r="B16" s="28" t="inlineStr">
        <is>
          <t>Кредит: фактические суммы закрытия долгов (143 323,53 ₽ и 50 000 ₽) и реально свободные деньги подтвердить в банке; не считать все 923 000 ₽ свободными автоматически. Старый автокредит 16 500 ₽/мес, возможно, рефинансируется — не учитывать старый и новый платёж одновременно без подтверждения.</t>
        </is>
      </c>
    </row>
    <row r="17" ht="17" customHeight="1">
      <c r="A17" s="27" t="n">
        <v>14</v>
      </c>
      <c r="B17" s="28" t="inlineStr">
        <is>
          <t>Цена ПВЗ 650 000–700 000 ₽ (675 000 ₽ — расчётный ориентир, не согласована) — не входит в операционный резерв и показана отдельно.</t>
        </is>
      </c>
    </row>
    <row r="18" ht="30" customHeight="1">
      <c r="A18" s="27" t="n">
        <v>15</v>
      </c>
      <c r="B18" s="28" t="inlineStr">
        <is>
          <t>Личные расходы (аренда квартиры 20 000 ₽/мес, старый автокредит 16 500 ₽/мес) показаны отдельным блоком; зарплата на заводе 110–130 тыс. ₽/мес продолжается (ориентир 120 тыс. ₽).</t>
        </is>
      </c>
    </row>
    <row r="19" ht="30" customHeight="1">
      <c r="A19" s="27" t="n">
        <v>16</v>
      </c>
      <c r="B19" s="28" t="inlineStr">
        <is>
          <t>Drop-off: модель 250 товаров × 10 ₽ × 30 дней = 75 000 ₽/мес против фактических 77 835,83 ₽/мес за Q3 — сверить объёмы и тарифы; за август ~5 700 выдач, за сентябрь ~5 800.</t>
        </is>
      </c>
    </row>
    <row r="21" ht="20" customHeight="1">
      <c r="A21" s="3" t="inlineStr">
        <is>
          <t>ИСТОЧНИКИ (проверка режима АУСН и параметров 2026 г.)</t>
        </is>
      </c>
    </row>
    <row r="22" ht="30" customHeight="1">
      <c r="A22" s="27" t="n">
        <v>1</v>
      </c>
      <c r="B22" s="2" t="inlineStr">
        <is>
          <t>АУСН: 0% ставка страховых взносов, освобождение ИП от фиксированных взносов и 1% — https://www.v2b.ru/articles/strahovye-vznosy-i-ndfl-na-ausn-v-2026-godu/ ; https://www.klerk.ru/blogs/astral/634402/</t>
        </is>
      </c>
    </row>
    <row r="23" ht="30" customHeight="1">
      <c r="A23" s="27" t="n">
        <v>2</v>
      </c>
      <c r="B23" s="2" t="inlineStr">
        <is>
          <t>ВНиМ на АУСН 2 959 ₽/год = 246,58 ₽/мес (2026) — https://www.moedelo.org/club/article-knowledge/vznosy-na-travmatizm-na-ausn-kak-platit-i-cto-delat-esli-net-rabotnikov</t>
        </is>
      </c>
    </row>
    <row r="24" ht="30" customHeight="1">
      <c r="A24" s="27" t="n">
        <v>3</v>
      </c>
      <c r="B24" s="2" t="inlineStr">
        <is>
          <t>Оренбургская область в эксперименте АУСН с 01.01.2025 — https://vkirove.ru/news/2025/12/12/v_kakikh_regionakh_rf_deystvuet_ausn_v_2026_godu.html</t>
        </is>
      </c>
    </row>
    <row r="25" ht="17" customHeight="1">
      <c r="A25" s="27" t="n">
        <v>4</v>
      </c>
      <c r="B25" s="2" t="inlineStr">
        <is>
          <t>Условия АУСН (доход ≤ 60 млн ₽, сотрудников ≤ 5, уполномоченный банк) — https://pay.yandex.ru/blog/articles/kak-rabotat-na-ausn-v-2026-godu</t>
        </is>
      </c>
    </row>
    <row r="26" ht="30" customHeight="1">
      <c r="A26" s="27" t="n">
        <v>5</v>
      </c>
      <c r="B26" s="2" t="inlineStr">
        <is>
          <t>Фиксированные взносы ИП 2026 = 57 390 ₽, 1% свыше 300 000 ₽ — https://www.moedelo.org/club/article-knowledge/ip-i-strahovye-vznosy-v-2026-godu-skolko-platit-cto-izmenilos-i-kak-ne-pereplatit ; https://www.klerk.ru/blogs/moedelo/663649/</t>
        </is>
      </c>
    </row>
  </sheetData>
  <mergeCells count="3">
    <mergeCell ref="A21:B21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2026-10-06T05:20:17Z</dcterms:created>
  <dcterms:modified xsi:type="dcterms:W3CDTF">2026-10-29T14:09:59Z</dcterms:modified>
</cp:coreProperties>
</file>